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c8095da62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49aa5d3195d4cb8"/>
    <x:sheet xmlns:r="http://schemas.openxmlformats.org/officeDocument/2006/relationships" name="LinkedIn" sheetId="2" r:id="R3910b29c01d3409a"/>
    <x:sheet xmlns:r="http://schemas.openxmlformats.org/officeDocument/2006/relationships" name="Instagram" sheetId="3" r:id="R0ef3ce4a7b5a4fbf"/>
    <x:sheet xmlns:r="http://schemas.openxmlformats.org/officeDocument/2006/relationships" name="Red Book" sheetId="4" r:id="Rd38ec94c8f87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mm/dd/yy"/>
  </x:numFmts>
  <x:fonts count="7">
    <x:font>
      <x:sz val="11"/>
      <x:name val="Carlito"/>
    </x:font>
    <x:font>
      <x:sz val="11"/>
      <x:color rgb="FF172C3D"/>
      <x:name val="Arial"/>
    </x:font>
    <x:font>
      <x:b/>
      <x:sz val="17"/>
      <x:color rgb="FF172C3D"/>
      <x:name val="Arial"/>
    </x:font>
    <x:font>
      <x:b/>
      <x:sz val="11"/>
      <x:color rgb="FFFFFFFF"/>
      <x:name val="Arial"/>
    </x:font>
    <x:font>
      <x:b/>
      <x:sz val="17"/>
      <x:color rgb="FF172C3D"/>
      <x:name val="Noto Sans CJK SC"/>
    </x:font>
    <x:font>
      <x:sz val="11"/>
      <x:color rgb="FF172C3D"/>
      <x:name val="Noto Sans CJK SC"/>
    </x:font>
    <x:font>
      <x:b/>
      <x:sz val="11"/>
      <x:color rgb="FFFFFFFF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DCECE8"/>
      </x:patternFill>
    </x:fill>
    <x:fill>
      <x:patternFill patternType="solid">
        <x:fgColor rgb="FF263E50"/>
      </x:patternFill>
    </x:fill>
    <x:fill>
      <x:patternFill patternType="solid">
        <x:fgColor rgb="FFF0F4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9C2222"/>
      </x:font>
      <x:fill>
        <x:patternFill patternType="solid">
          <x:bgColor rgb="FFFCE8E6"/>
        </x:patternFill>
      </x:fill>
    </x:dxf>
    <x:dxf>
      <x:font>
        <x:color rgb="FF9C2222"/>
      </x:font>
      <x:fill>
        <x:patternFill patternType="solid">
          <x:bgColor rgb="FFFCE8E6"/>
        </x:patternFill>
      </x:fill>
    </x:dxf>
    <x:dxf>
      <x:font>
        <x:color rgb="FF9C2222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ed23055c24e94" /><Relationship Type="http://schemas.openxmlformats.org/officeDocument/2006/relationships/theme" Target="/xl/theme/theme1.xml" Id="Ra820df2de535439b" /><Relationship Type="http://schemas.openxmlformats.org/officeDocument/2006/relationships/sharedStrings" Target="/xl/sharedStrings.xml" Id="Rd0cb8fb1178a4f34" /><Relationship Type="http://schemas.openxmlformats.org/officeDocument/2006/relationships/worksheet" Target="/xl/worksheets/sheet1.xml" Id="R749aa5d3195d4cb8" /><Relationship Type="http://schemas.openxmlformats.org/officeDocument/2006/relationships/worksheet" Target="/xl/worksheets/sheet2.xml" Id="R3910b29c01d3409a" /><Relationship Type="http://schemas.openxmlformats.org/officeDocument/2006/relationships/worksheet" Target="/xl/worksheets/sheet3.xml" Id="R0ef3ce4a7b5a4fbf" /><Relationship Type="http://schemas.openxmlformats.org/officeDocument/2006/relationships/worksheet" Target="/xl/worksheets/sheet4.xml" Id="Rd38ec94c8f874cee" /></Relationships>
</file>

<file path=xl/tables/table1.xml><?xml version="1.0" encoding="utf-8"?>
<x:table xmlns:x="http://schemas.openxmlformats.org/spreadsheetml/2006/main" id="1" name="LinkedInPlan" displayName="LinkedInPlan" ref="A4:N40" headerRowCount="1" totalsRowCount="0" totalsRowShown="0">
  <x:tableColumns count="14">
    <x:tableColumn id="1" name="Post ID"/>
    <x:tableColumn id="2" name="Week"/>
    <x:tableColumn id="3" name="Planned date"/>
    <x:tableColumn id="4" name="Product"/>
    <x:tableColumn id="5" name="Pillar"/>
    <x:tableColumn id="6" name="Topic"/>
    <x:tableColumn id="7" name="Format"/>
    <x:tableColumn id="8" name="Headline or hook"/>
    <x:tableColumn id="9" name="Brief copy direction"/>
    <x:tableColumn id="10" name="Visual concept"/>
    <x:tableColumn id="11" name="Call to action"/>
    <x:tableColumn id="12" name="Destination or prompt"/>
    <x:tableColumn id="13" name="Source IDs"/>
    <x:tableColumn id="1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gramPlan" displayName="InstagramPlan" ref="A4:N40" headerRowCount="1" totalsRowCount="0" totalsRowShown="0">
  <x:tableColumns count="14">
    <x:tableColumn id="1" name="Post ID"/>
    <x:tableColumn id="2" name="Week"/>
    <x:tableColumn id="3" name="Planned date"/>
    <x:tableColumn id="4" name="Product"/>
    <x:tableColumn id="5" name="Pillar"/>
    <x:tableColumn id="6" name="Topic"/>
    <x:tableColumn id="7" name="Format"/>
    <x:tableColumn id="8" name="Headline or hook"/>
    <x:tableColumn id="9" name="Brief copy direction"/>
    <x:tableColumn id="10" name="Visual concept"/>
    <x:tableColumn id="11" name="Call to action"/>
    <x:tableColumn id="12" name="Destination or prompt"/>
    <x:tableColumn id="13" name="Source IDs"/>
    <x:tableColumn id="14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dBookPlan" displayName="RedBookPlan" ref="A4:N40" headerRowCount="1" totalsRowCount="0" totalsRowShown="0">
  <x:tableColumns count="14">
    <x:tableColumn id="1" name="内容编号"/>
    <x:tableColumn id="2" name="周次"/>
    <x:tableColumn id="3" name="计划日期"/>
    <x:tableColumn id="4" name="产品"/>
    <x:tableColumn id="5" name="主线"/>
    <x:tableColumn id="6" name="主题"/>
    <x:tableColumn id="7" name="形式"/>
    <x:tableColumn id="8" name="标题或开头"/>
    <x:tableColumn id="9" name="文案方向"/>
    <x:tableColumn id="10" name="视觉构想"/>
    <x:tableColumn id="11" name="行动提示"/>
    <x:tableColumn id="12" name="来源链接或站内行动"/>
    <x:tableColumn id="13" name="来源编号"/>
    <x:tableColumn id="14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b36938f7eb46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7a341f4bb84d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bd862ec9fe4c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4" t="str">
        <x:v>InGen 12-week editorial calendar</x:v>
      </x:c>
      <x:c r="B1" s="3"/>
      <x:c r="C1" s="3"/>
      <x:c r="D1" s="3"/>
      <x:c r="E1" s="3"/>
      <x:c r="F1" s="3"/>
    </x:row>
    <x:row r="2" ht="30" customHeight="1">
      <x:c r="A2" s="3" t="str">
        <x:v>Xuan Li · Week 3 proposal · 108 planned posts · No publishing performed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 ht="30" customHeight="1">
      <x:c r="A4" s="3" t="str">
        <x:v>Start Monday</x:v>
      </x:c>
      <x:c r="B4" s="6" t="d">
        <x:v>2026-10-19T00:00:00.000Z</x:v>
      </x:c>
      <x:c r="C4" s="3" t="str">
        <x:v>Editable planning assumption. Change B4 to move all planned dates. Calendar weeks 1–12 are campaign weeks, not internship week numbers.</x:v>
      </x:c>
      <x:c r="D4" s="3"/>
      <x:c r="E4" s="3"/>
      <x:c r="F4" s="3"/>
    </x:row>
    <x:row r="5" ht="30" customHeight="1">
      <x:c r="A5" s="3"/>
      <x:c r="B5" s="3"/>
      <x:c r="C5" s="3"/>
      <x:c r="D5" s="3"/>
      <x:c r="E5" s="3"/>
      <x:c r="F5" s="3"/>
    </x:row>
    <x:row r="6" ht="30" customHeight="1">
      <x:c r="A6" s="3" t="str">
        <x:v>Final Sunday</x:v>
      </x:c>
      <x:c r="B6" s="5" t="n">
        <x:f>B4+83</x:f>
        <x:v>46397</x:v>
      </x:c>
      <x:c r="C6" s="3" t="str">
        <x:v>Dates remain provisional until channel and reviewer availability is confirmed.</x:v>
      </x:c>
      <x:c r="D6" s="3"/>
      <x:c r="E6" s="3"/>
      <x:c r="F6" s="3"/>
    </x:row>
    <x:row r="7">
      <x:c r="A7" s="3"/>
      <x:c r="B7" s="3"/>
      <x:c r="C7" s="3"/>
      <x:c r="D7" s="3"/>
      <x:c r="E7" s="3"/>
      <x:c r="F7" s="3"/>
    </x:row>
    <x:row r="8" ht="32" customHeight="1">
      <x:c r="A8" s="8" t="str">
        <x:v>Week</x:v>
      </x:c>
      <x:c r="B8" s="8" t="str">
        <x:v>Week starts</x:v>
      </x:c>
      <x:c r="C8" s="8" t="str">
        <x:v>LinkedIn posts</x:v>
      </x:c>
      <x:c r="D8" s="8" t="str">
        <x:v>Instagram posts</x:v>
      </x:c>
      <x:c r="E8" s="8" t="str">
        <x:v>Red Book posts</x:v>
      </x:c>
      <x:c r="F8" s="8" t="str">
        <x:v>Total posts</x:v>
      </x:c>
    </x:row>
    <x:row r="9" ht="27" customHeight="1">
      <x:c r="A9" s="9" t="n">
        <x:v>1</x:v>
      </x:c>
      <x:c r="B9" s="10" t="n">
        <x:f>$B$4+(A9-1)*7</x:f>
        <x:v>46314</x:v>
      </x:c>
      <x:c r="C9" s="9" t="n">
        <x:f>COUNTIF('LinkedIn'!$B$5:$B$40,A9)</x:f>
        <x:v>3</x:v>
      </x:c>
      <x:c r="D9" s="9" t="n">
        <x:f>COUNTIF('Instagram'!$B$5:$B$40,A9)</x:f>
        <x:v>3</x:v>
      </x:c>
      <x:c r="E9" s="9" t="n">
        <x:f>COUNTIF('Red Book'!$B$5:$B$40,A9)</x:f>
        <x:v>3</x:v>
      </x:c>
      <x:c r="F9" s="9" t="n">
        <x:f>SUM(C9:E9)</x:f>
        <x:v>9</x:v>
      </x:c>
    </x:row>
    <x:row r="10" ht="27" customHeight="1">
      <x:c r="A10" s="3" t="n">
        <x:v>2</x:v>
      </x:c>
      <x:c r="B10" s="5" t="n">
        <x:f>$B$4+(A10-1)*7</x:f>
        <x:v>46321</x:v>
      </x:c>
      <x:c r="C10" s="3" t="n">
        <x:f>COUNTIF('LinkedIn'!$B$5:$B$40,A10)</x:f>
        <x:v>3</x:v>
      </x:c>
      <x:c r="D10" s="3" t="n">
        <x:f>COUNTIF('Instagram'!$B$5:$B$40,A10)</x:f>
        <x:v>3</x:v>
      </x:c>
      <x:c r="E10" s="3" t="n">
        <x:f>COUNTIF('Red Book'!$B$5:$B$40,A10)</x:f>
        <x:v>3</x:v>
      </x:c>
      <x:c r="F10" s="3" t="n">
        <x:f>SUM(C10:E10)</x:f>
        <x:v>9</x:v>
      </x:c>
    </x:row>
    <x:row r="11" ht="27" customHeight="1">
      <x:c r="A11" s="9" t="n">
        <x:v>3</x:v>
      </x:c>
      <x:c r="B11" s="10" t="n">
        <x:f>$B$4+(A11-1)*7</x:f>
        <x:v>46328</x:v>
      </x:c>
      <x:c r="C11" s="9" t="n">
        <x:f>COUNTIF('LinkedIn'!$B$5:$B$40,A11)</x:f>
        <x:v>3</x:v>
      </x:c>
      <x:c r="D11" s="9" t="n">
        <x:f>COUNTIF('Instagram'!$B$5:$B$40,A11)</x:f>
        <x:v>3</x:v>
      </x:c>
      <x:c r="E11" s="9" t="n">
        <x:f>COUNTIF('Red Book'!$B$5:$B$40,A11)</x:f>
        <x:v>3</x:v>
      </x:c>
      <x:c r="F11" s="9" t="n">
        <x:f>SUM(C11:E11)</x:f>
        <x:v>9</x:v>
      </x:c>
    </x:row>
    <x:row r="12" ht="27" customHeight="1">
      <x:c r="A12" s="3" t="n">
        <x:v>4</x:v>
      </x:c>
      <x:c r="B12" s="5" t="n">
        <x:f>$B$4+(A12-1)*7</x:f>
        <x:v>46335</x:v>
      </x:c>
      <x:c r="C12" s="3" t="n">
        <x:f>COUNTIF('LinkedIn'!$B$5:$B$40,A12)</x:f>
        <x:v>3</x:v>
      </x:c>
      <x:c r="D12" s="3" t="n">
        <x:f>COUNTIF('Instagram'!$B$5:$B$40,A12)</x:f>
        <x:v>3</x:v>
      </x:c>
      <x:c r="E12" s="3" t="n">
        <x:f>COUNTIF('Red Book'!$B$5:$B$40,A12)</x:f>
        <x:v>3</x:v>
      </x:c>
      <x:c r="F12" s="3" t="n">
        <x:f>SUM(C12:E12)</x:f>
        <x:v>9</x:v>
      </x:c>
    </x:row>
    <x:row r="13" ht="27" customHeight="1">
      <x:c r="A13" s="9" t="n">
        <x:v>5</x:v>
      </x:c>
      <x:c r="B13" s="10" t="n">
        <x:f>$B$4+(A13-1)*7</x:f>
        <x:v>46342</x:v>
      </x:c>
      <x:c r="C13" s="9" t="n">
        <x:f>COUNTIF('LinkedIn'!$B$5:$B$40,A13)</x:f>
        <x:v>3</x:v>
      </x:c>
      <x:c r="D13" s="9" t="n">
        <x:f>COUNTIF('Instagram'!$B$5:$B$40,A13)</x:f>
        <x:v>3</x:v>
      </x:c>
      <x:c r="E13" s="9" t="n">
        <x:f>COUNTIF('Red Book'!$B$5:$B$40,A13)</x:f>
        <x:v>3</x:v>
      </x:c>
      <x:c r="F13" s="9" t="n">
        <x:f>SUM(C13:E13)</x:f>
        <x:v>9</x:v>
      </x:c>
    </x:row>
    <x:row r="14" ht="27" customHeight="1">
      <x:c r="A14" s="3" t="n">
        <x:v>6</x:v>
      </x:c>
      <x:c r="B14" s="5" t="n">
        <x:f>$B$4+(A14-1)*7</x:f>
        <x:v>46349</x:v>
      </x:c>
      <x:c r="C14" s="3" t="n">
        <x:f>COUNTIF('LinkedIn'!$B$5:$B$40,A14)</x:f>
        <x:v>3</x:v>
      </x:c>
      <x:c r="D14" s="3" t="n">
        <x:f>COUNTIF('Instagram'!$B$5:$B$40,A14)</x:f>
        <x:v>3</x:v>
      </x:c>
      <x:c r="E14" s="3" t="n">
        <x:f>COUNTIF('Red Book'!$B$5:$B$40,A14)</x:f>
        <x:v>3</x:v>
      </x:c>
      <x:c r="F14" s="3" t="n">
        <x:f>SUM(C14:E14)</x:f>
        <x:v>9</x:v>
      </x:c>
    </x:row>
    <x:row r="15" ht="27" customHeight="1">
      <x:c r="A15" s="9" t="n">
        <x:v>7</x:v>
      </x:c>
      <x:c r="B15" s="10" t="n">
        <x:f>$B$4+(A15-1)*7</x:f>
        <x:v>46356</x:v>
      </x:c>
      <x:c r="C15" s="9" t="n">
        <x:f>COUNTIF('LinkedIn'!$B$5:$B$40,A15)</x:f>
        <x:v>3</x:v>
      </x:c>
      <x:c r="D15" s="9" t="n">
        <x:f>COUNTIF('Instagram'!$B$5:$B$40,A15)</x:f>
        <x:v>3</x:v>
      </x:c>
      <x:c r="E15" s="9" t="n">
        <x:f>COUNTIF('Red Book'!$B$5:$B$40,A15)</x:f>
        <x:v>3</x:v>
      </x:c>
      <x:c r="F15" s="9" t="n">
        <x:f>SUM(C15:E15)</x:f>
        <x:v>9</x:v>
      </x:c>
    </x:row>
    <x:row r="16" ht="27" customHeight="1">
      <x:c r="A16" s="3" t="n">
        <x:v>8</x:v>
      </x:c>
      <x:c r="B16" s="5" t="n">
        <x:f>$B$4+(A16-1)*7</x:f>
        <x:v>46363</x:v>
      </x:c>
      <x:c r="C16" s="3" t="n">
        <x:f>COUNTIF('LinkedIn'!$B$5:$B$40,A16)</x:f>
        <x:v>3</x:v>
      </x:c>
      <x:c r="D16" s="3" t="n">
        <x:f>COUNTIF('Instagram'!$B$5:$B$40,A16)</x:f>
        <x:v>3</x:v>
      </x:c>
      <x:c r="E16" s="3" t="n">
        <x:f>COUNTIF('Red Book'!$B$5:$B$40,A16)</x:f>
        <x:v>3</x:v>
      </x:c>
      <x:c r="F16" s="3" t="n">
        <x:f>SUM(C16:E16)</x:f>
        <x:v>9</x:v>
      </x:c>
    </x:row>
    <x:row r="17" ht="27" customHeight="1">
      <x:c r="A17" s="9" t="n">
        <x:v>9</x:v>
      </x:c>
      <x:c r="B17" s="10" t="n">
        <x:f>$B$4+(A17-1)*7</x:f>
        <x:v>46370</x:v>
      </x:c>
      <x:c r="C17" s="9" t="n">
        <x:f>COUNTIF('LinkedIn'!$B$5:$B$40,A17)</x:f>
        <x:v>3</x:v>
      </x:c>
      <x:c r="D17" s="9" t="n">
        <x:f>COUNTIF('Instagram'!$B$5:$B$40,A17)</x:f>
        <x:v>3</x:v>
      </x:c>
      <x:c r="E17" s="9" t="n">
        <x:f>COUNTIF('Red Book'!$B$5:$B$40,A17)</x:f>
        <x:v>3</x:v>
      </x:c>
      <x:c r="F17" s="9" t="n">
        <x:f>SUM(C17:E17)</x:f>
        <x:v>9</x:v>
      </x:c>
    </x:row>
    <x:row r="18" ht="27" customHeight="1">
      <x:c r="A18" s="3" t="n">
        <x:v>10</x:v>
      </x:c>
      <x:c r="B18" s="5" t="n">
        <x:f>$B$4+(A18-1)*7</x:f>
        <x:v>46377</x:v>
      </x:c>
      <x:c r="C18" s="3" t="n">
        <x:f>COUNTIF('LinkedIn'!$B$5:$B$40,A18)</x:f>
        <x:v>3</x:v>
      </x:c>
      <x:c r="D18" s="3" t="n">
        <x:f>COUNTIF('Instagram'!$B$5:$B$40,A18)</x:f>
        <x:v>3</x:v>
      </x:c>
      <x:c r="E18" s="3" t="n">
        <x:f>COUNTIF('Red Book'!$B$5:$B$40,A18)</x:f>
        <x:v>3</x:v>
      </x:c>
      <x:c r="F18" s="3" t="n">
        <x:f>SUM(C18:E18)</x:f>
        <x:v>9</x:v>
      </x:c>
    </x:row>
    <x:row r="19" ht="27" customHeight="1">
      <x:c r="A19" s="9" t="n">
        <x:v>11</x:v>
      </x:c>
      <x:c r="B19" s="10" t="n">
        <x:f>$B$4+(A19-1)*7</x:f>
        <x:v>46384</x:v>
      </x:c>
      <x:c r="C19" s="9" t="n">
        <x:f>COUNTIF('LinkedIn'!$B$5:$B$40,A19)</x:f>
        <x:v>3</x:v>
      </x:c>
      <x:c r="D19" s="9" t="n">
        <x:f>COUNTIF('Instagram'!$B$5:$B$40,A19)</x:f>
        <x:v>3</x:v>
      </x:c>
      <x:c r="E19" s="9" t="n">
        <x:f>COUNTIF('Red Book'!$B$5:$B$40,A19)</x:f>
        <x:v>3</x:v>
      </x:c>
      <x:c r="F19" s="9" t="n">
        <x:f>SUM(C19:E19)</x:f>
        <x:v>9</x:v>
      </x:c>
    </x:row>
    <x:row r="20" ht="27" customHeight="1">
      <x:c r="A20" s="3" t="n">
        <x:v>12</x:v>
      </x:c>
      <x:c r="B20" s="5" t="n">
        <x:f>$B$4+(A20-1)*7</x:f>
        <x:v>46391</x:v>
      </x:c>
      <x:c r="C20" s="3" t="n">
        <x:f>COUNTIF('LinkedIn'!$B$5:$B$40,A20)</x:f>
        <x:v>3</x:v>
      </x:c>
      <x:c r="D20" s="3" t="n">
        <x:f>COUNTIF('Instagram'!$B$5:$B$40,A20)</x:f>
        <x:v>3</x:v>
      </x:c>
      <x:c r="E20" s="3" t="n">
        <x:f>COUNTIF('Red Book'!$B$5:$B$40,A20)</x:f>
        <x:v>3</x:v>
      </x:c>
      <x:c r="F20" s="3" t="n">
        <x:f>SUM(C20:E20)</x:f>
        <x:v>9</x:v>
      </x:c>
    </x:row>
    <x:row r="21">
      <x:c r="A21" s="3"/>
      <x:c r="B21" s="3"/>
      <x:c r="C21" s="3"/>
      <x:c r="D21" s="3"/>
      <x:c r="E21" s="3"/>
      <x:c r="F21" s="3"/>
    </x:row>
    <x:row r="22" ht="32" customHeight="1">
      <x:c r="A22" s="8" t="str">
        <x:v>Total posts</x:v>
      </x:c>
      <x:c r="B22" s="8"/>
      <x:c r="C22" s="8" t="n">
        <x:f>SUM(C9:C20)</x:f>
        <x:v>36</x:v>
      </x:c>
      <x:c r="D22" s="8" t="n">
        <x:f>SUM(D9:D20)</x:f>
        <x:v>36</x:v>
      </x:c>
      <x:c r="E22" s="8" t="n">
        <x:f>SUM(E9:E20)</x:f>
        <x:v>36</x:v>
      </x:c>
      <x:c r="F22" s="8" t="n">
        <x:f>SUM(F9:F20)</x:f>
        <x:v>108</x:v>
      </x:c>
    </x:row>
    <x:row r="23">
      <x:c r="A23" s="3"/>
      <x:c r="B23" s="3"/>
      <x:c r="C23" s="3"/>
      <x:c r="D23" s="3"/>
      <x:c r="E23" s="3"/>
      <x:c r="F23" s="3"/>
    </x:row>
    <x:row r="24">
      <x:c r="A24" s="3"/>
      <x:c r="B24" s="3"/>
      <x:c r="C24" s="3"/>
      <x:c r="D24" s="3"/>
      <x:c r="E24" s="3"/>
      <x:c r="F24" s="3"/>
    </x:row>
    <x:row r="25" ht="56" customHeight="1">
      <x:c r="A25" s="9" t="str">
        <x:v>Editorial scope</x:v>
      </x:c>
      <x:c r="B25" s="9" t="str">
        <x:v>Instagram and Red Book: 36 Fari posts each. LinkedIn: 12 Senpai, 9 Rover, 9 Sentinel and 6 Humanoid posts. Use one primary pillar per post.</x:v>
      </x:c>
      <x:c r="C25" s="9"/>
      <x:c r="D25" s="9"/>
      <x:c r="E25" s="9"/>
      <x:c r="F25" s="9"/>
    </x:row>
    <x:row r="26" ht="56" customHeight="1">
      <x:c r="A26" s="3" t="str">
        <x:v>Evidence boundary</x:v>
      </x:c>
      <x:c r="B26" s="3" t="str">
        <x:v>All rows are proposed topics and draft copy directions. Source IDs point to the register below. A source documents context or company intent, not proof that a planned post or product result exists.</x:v>
      </x:c>
      <x:c r="C26" s="3"/>
      <x:c r="D26" s="3"/>
      <x:c r="E26" s="3"/>
      <x:c r="F26" s="3"/>
    </x:row>
    <x:row r="27" ht="56" customHeight="1">
      <x:c r="A27" s="9" t="str">
        <x:v>Before release</x:v>
      </x:c>
      <x:c r="B27" s="9" t="str">
        <x:v>Xuan drafts; an InGen product owner checks claims and status; an education/security reviewer checks context where relevant. Reviewer assignment and account access are not confirmed.</x:v>
      </x:c>
      <x:c r="C27" s="9"/>
      <x:c r="D27" s="9"/>
      <x:c r="E27" s="9"/>
      <x:c r="F27" s="9"/>
    </x:row>
    <x:row r="28" ht="56" customHeight="1">
      <x:c r="A28" s="3" t="str">
        <x:v>Workflow status</x:v>
      </x:c>
      <x:c r="B28" s="3" t="str">
        <x:v>Draft → In review → Approved → Scheduled → Published. “Hold” means a source, reviewer, claim or destination is unresolved. Scheduling and publishing are manual future actions.</x:v>
      </x:c>
      <x:c r="C28" s="3"/>
      <x:c r="D28" s="3"/>
      <x:c r="E28" s="3"/>
      <x:c r="F28" s="3"/>
    </x:row>
    <x:row r="29" ht="56" customHeight="1">
      <x:c r="A29" s="9" t="str">
        <x:v>CTA readiness</x:v>
      </x:c>
      <x:c r="B29" s="9" t="str">
        <x:v>Use public source pages or native save/discussion prompts. Confirm profile links and account rules. Do not claim that a guide, intake form, demo or pilot already exists.</x:v>
      </x:c>
      <x:c r="C29" s="9"/>
      <x:c r="D29" s="9"/>
      <x:c r="E29" s="9"/>
      <x:c r="F29" s="9"/>
    </x:row>
    <x:row r="30" ht="56" customHeight="1">
      <x:c r="A30" s="3" t="str">
        <x:v>Capacity assumption</x:v>
      </x:c>
      <x:c r="B30" s="3" t="str">
        <x:v>12–14 intern hours/week plus reviewer time; extra template setup in week 1. Reuse research and layouts while adapting the copy and question. Validate workload after four weeks.</x:v>
      </x:c>
      <x:c r="C30" s="3"/>
      <x:c r="D30" s="3"/>
      <x:c r="E30" s="3"/>
      <x:c r="F30" s="3"/>
    </x:row>
    <x:row r="31" ht="56" customHeight="1">
      <x:c r="A31" s="9" t="str">
        <x:v>Holiday coverage</x:v>
      </x:c>
      <x:c r="B31" s="9" t="str">
        <x:v>For US Thanksgiving week, late December and New Year, prepare evergreen content early and verify response coverage. Provisional dates are not commitments.</x:v>
      </x:c>
      <x:c r="C31" s="9"/>
      <x:c r="D31" s="9"/>
      <x:c r="E31" s="9"/>
      <x:c r="F31" s="9"/>
    </x:row>
    <x:row r="32" ht="56" customHeight="1">
      <x:c r="A32" s="3" t="str">
        <x:v>Chinese content</x:v>
      </x:c>
      <x:c r="B32" s="3" t="str">
        <x:v>Red Book copy is for Chinese-speaking adults in the US. No China launch, platform reach or shared cultural preference is assumed. Preserve source and development labels in translation.</x:v>
      </x:c>
      <x:c r="C32" s="3"/>
      <x:c r="D32" s="3"/>
      <x:c r="E32" s="3"/>
      <x:c r="F32" s="3"/>
    </x:row>
    <x:row r="33" ht="56" customHeight="1">
      <x:c r="A33" s="9" t="str">
        <x:v>Review cycle</x:v>
      </x:c>
      <x:c r="B33" s="9" t="str">
        <x:v>Review qualified questions, misunderstandings and production time every four weeks. No performance results or conversion benchmarks have been invented.</x:v>
      </x:c>
      <x:c r="C33" s="9"/>
      <x:c r="D33" s="9"/>
      <x:c r="E33" s="9"/>
      <x:c r="F33" s="9"/>
    </x:row>
    <x:row r="34">
      <x:c r="A34" s="3"/>
      <x:c r="B34" s="3"/>
      <x:c r="C34" s="3"/>
      <x:c r="D34" s="3"/>
      <x:c r="E34" s="3"/>
      <x:c r="F34" s="3"/>
    </x:row>
    <x:row r="35">
      <x:c r="A35" s="3"/>
      <x:c r="B35" s="3"/>
      <x:c r="C35" s="3"/>
      <x:c r="D35" s="3"/>
      <x:c r="E35" s="3"/>
      <x:c r="F35" s="3"/>
    </x:row>
    <x:row r="36" ht="32" customHeight="1">
      <x:c r="A36" s="8" t="str">
        <x:v>Source register — public pages checked 13 October 2026</x:v>
      </x:c>
      <x:c r="B36" s="8"/>
      <x:c r="C36" s="8"/>
      <x:c r="D36" s="8"/>
      <x:c r="E36" s="8"/>
      <x:c r="F36" s="8"/>
    </x:row>
    <x:row r="37" ht="85" customHeight="1">
      <x:c r="A37" s="9" t="str">
        <x:v>I1</x:v>
      </x:c>
      <x:c r="B37" s="9" t="str">
        <x:v>InGen Dynamics. Fari product and design page. Company statements; development intentions, not independent product validation.</x:v>
      </x:c>
      <x:c r="C37" s="9"/>
      <x:c r="D37" s="9"/>
      <x:c r="E37" s="9" t="str">
        <x:v>https://www.ingendynamics.com/fari.html</x:v>
      </x:c>
      <x:c r="F37" s="9"/>
    </x:row>
    <x:row r="38" ht="85" customHeight="1">
      <x:c r="A38" s="3" t="str">
        <x:v>I2</x:v>
      </x:c>
      <x:c r="B38" s="3" t="str">
        <x:v>InGen Dynamics. Senpai product and design page. Company statements; teacher control is a design intention.</x:v>
      </x:c>
      <x:c r="C38" s="3"/>
      <x:c r="D38" s="3"/>
      <x:c r="E38" s="3" t="str">
        <x:v>https://www.ingendynamics.com/senpai.html</x:v>
      </x:c>
      <x:c r="F38" s="3"/>
    </x:row>
    <x:row r="39" ht="85" customHeight="1">
      <x:c r="A39" s="9" t="str">
        <x:v>I3</x:v>
      </x:c>
      <x:c r="B39" s="9" t="str">
        <x:v>InGen Dynamics. Corporate product overview. Status labels for Rover, Sentinel Prime AI and Aido Humanoid.</x:v>
      </x:c>
      <x:c r="C39" s="9"/>
      <x:c r="D39" s="9"/>
      <x:c r="E39" s="9" t="str">
        <x:v>https://www.ingendynamics.com/</x:v>
      </x:c>
      <x:c r="F39" s="9"/>
    </x:row>
    <x:row r="40" ht="85" customHeight="1">
      <x:c r="A40" s="3" t="str">
        <x:v>R1</x:v>
      </x:c>
      <x:c r="B40" s="3" t="str">
        <x:v>Smarr et al. (2014). Domestic robots for older adults: Attitudes, preferences, and potential. International Journal of Social Robotics, 6, 229–247.</x:v>
      </x:c>
      <x:c r="C40" s="3"/>
      <x:c r="D40" s="3"/>
      <x:c r="E40" s="3" t="str">
        <x:v>https://doi.org/10.1007/s12369-013-0220-0</x:v>
      </x:c>
      <x:c r="F40" s="3"/>
    </x:row>
    <x:row r="41" ht="85" customHeight="1">
      <x:c r="A41" s="9" t="str">
        <x:v>R2</x:v>
      </x:c>
      <x:c r="B41" s="9" t="str">
        <x:v>Lee and See (2004). Trust in automation: Designing for appropriate reliance. Human Factors, 46, 50–80.</x:v>
      </x:c>
      <x:c r="C41" s="9"/>
      <x:c r="D41" s="9"/>
      <x:c r="E41" s="9" t="str">
        <x:v>https://doi.org/10.1518/hfes.46.1.50_30392</x:v>
      </x:c>
      <x:c r="F41" s="9"/>
    </x:row>
    <x:row r="42" ht="85" customHeight="1">
      <x:c r="A42" s="3" t="str">
        <x:v>R3</x:v>
      </x:c>
      <x:c r="B42" s="3" t="str">
        <x:v>Ertmer and Ottenbreit-Leftwich (2010). Teacher technology change: How knowledge, confidence, beliefs, and culture intersect. JRTE, 42, 255–284.</x:v>
      </x:c>
      <x:c r="C42" s="3"/>
      <x:c r="D42" s="3"/>
      <x:c r="E42" s="3" t="str">
        <x:v>https://doi.org/10.1080/15391523.2010.10782551</x:v>
      </x:c>
      <x:c r="F42" s="3"/>
    </x:row>
    <x:row r="43" ht="85" customHeight="1">
      <x:c r="A43" s="9" t="str">
        <x:v>R4</x:v>
      </x:c>
      <x:c r="B43" s="9" t="str">
        <x:v>Vollmer et al. (2018). Children conform, adults resist: A robot group induced peer pressure on normative social conformity. Science Robotics.</x:v>
      </x:c>
      <x:c r="C43" s="9"/>
      <x:c r="D43" s="9"/>
      <x:c r="E43" s="9" t="str">
        <x:v>https://doi.org/10.1126/scirobotics.aat7111</x:v>
      </x:c>
      <x:c r="F43" s="9"/>
    </x:row>
    <x:row r="44" ht="85" customHeight="1">
      <x:c r="A44" s="3" t="str">
        <x:v>R5</x:v>
      </x:c>
      <x:c r="B44" s="3" t="str">
        <x:v>Pew Research Center (17 September 2025). AI in Americans’ lives: Awareness, experiences and attitudes. General US adult attitudes; not robotics purchase research.</x:v>
      </x:c>
      <x:c r="C44" s="3"/>
      <x:c r="D44" s="3"/>
      <x:c r="E44" s="3" t="str">
        <x:v>https://www.pewresearch.org/science/2025/09/17/ai-in-americans-lives-awareness-experiences-and-attitudes/</x:v>
      </x:c>
      <x:c r="F44" s="3"/>
    </x:row>
    <x:row r="45" ht="85" customHeight="1">
      <x:c r="A45" s="9" t="str">
        <x:v>R6</x:v>
      </x:c>
      <x:c r="B45" s="9" t="str">
        <x:v>Miao and Holmes / UNESCO (2023). Guidance for generative AI in education and research. Policy guidance; not evidence of Senpai effectiveness.</x:v>
      </x:c>
      <x:c r="C45" s="9"/>
      <x:c r="D45" s="9"/>
      <x:c r="E45" s="9" t="str">
        <x:v>https://www.unesco.org/en/articles/guidance-generative-ai-education-and-research</x:v>
      </x:c>
      <x:c r="F45" s="9"/>
    </x:row>
    <x:row r="46">
      <x:c r="A46" s="3"/>
      <x:c r="B46" s="3"/>
      <x:c r="C46" s="3"/>
      <x:c r="D46" s="3"/>
      <x:c r="E46" s="3"/>
      <x:c r="F46" s="3"/>
    </x:row>
    <x:row r="47">
      <x:c r="A47" s="3"/>
      <x:c r="B47" s="3"/>
      <x:c r="C47" s="3"/>
      <x:c r="D47" s="3"/>
      <x:c r="E47" s="3"/>
      <x:c r="F47" s="3"/>
    </x:row>
    <x:row r="48">
      <x:c r="A48" s="3"/>
      <x:c r="B48" s="3"/>
      <x:c r="C48" s="3"/>
      <x:c r="D48" s="3"/>
      <x:c r="E48" s="3"/>
      <x:c r="F48" s="3"/>
    </x:row>
    <x:row r="49">
      <x:c r="A49" s="3"/>
      <x:c r="B49" s="3"/>
      <x:c r="C49" s="3"/>
      <x:c r="D49" s="3"/>
      <x:c r="E49" s="3"/>
      <x:c r="F49" s="3"/>
    </x:row>
    <x:row r="50">
      <x:c r="A50" s="3"/>
      <x:c r="B50" s="3"/>
      <x:c r="C50" s="3"/>
      <x:c r="D50" s="3"/>
      <x:c r="E50" s="3"/>
      <x:c r="F50" s="3"/>
    </x:row>
    <x:row r="51">
      <x:c r="A51" s="3"/>
      <x:c r="B51" s="3"/>
      <x:c r="C51" s="3"/>
      <x:c r="D51" s="3"/>
      <x:c r="E51" s="3"/>
      <x:c r="F51" s="3"/>
    </x:row>
    <x:row r="52">
      <x:c r="A52" s="3"/>
      <x:c r="B52" s="3"/>
      <x:c r="C52" s="3"/>
      <x:c r="D52" s="3"/>
      <x:c r="E52" s="3"/>
      <x:c r="F52" s="3"/>
    </x:row>
    <x:row r="53">
      <x:c r="A53" s="3"/>
      <x:c r="B53" s="3"/>
      <x:c r="C53" s="3"/>
      <x:c r="D53" s="3"/>
      <x:c r="E53" s="3"/>
      <x:c r="F53" s="3"/>
    </x:row>
    <x:row r="54">
      <x:c r="A54" s="3"/>
      <x:c r="B54" s="3"/>
      <x:c r="C54" s="3"/>
      <x:c r="D54" s="3"/>
      <x:c r="E54" s="3"/>
      <x:c r="F54" s="3"/>
    </x:row>
  </x:sheetData>
  <x:mergeCells>
    <x:mergeCell ref="A1:F1"/>
    <x:mergeCell ref="A2:F2"/>
    <x:mergeCell ref="C4:F5"/>
    <x:mergeCell ref="C6:F6"/>
    <x:mergeCell ref="B25:F25"/>
    <x:mergeCell ref="B26:F26"/>
    <x:mergeCell ref="B27:F27"/>
    <x:mergeCell ref="B28:F28"/>
    <x:mergeCell ref="B29:F29"/>
    <x:mergeCell ref="B30:F30"/>
    <x:mergeCell ref="B31:F31"/>
    <x:mergeCell ref="B32:F32"/>
    <x:mergeCell ref="B33:F33"/>
    <x:mergeCell ref="A36:F36"/>
    <x:mergeCell ref="B37:D37"/>
    <x:mergeCell ref="E37:F37"/>
    <x:mergeCell ref="B38:D38"/>
    <x:mergeCell ref="E38:F38"/>
    <x:mergeCell ref="B39:D39"/>
    <x:mergeCell ref="E39:F39"/>
    <x:mergeCell ref="B40:D40"/>
    <x:mergeCell ref="E40:F40"/>
    <x:mergeCell ref="B41:D41"/>
    <x:mergeCell ref="E41:F41"/>
    <x:mergeCell ref="B42:D42"/>
    <x:mergeCell ref="E42:F42"/>
    <x:mergeCell ref="B43:D43"/>
    <x:mergeCell ref="E43:F43"/>
    <x:mergeCell ref="B44:D44"/>
    <x:mergeCell ref="E44:F44"/>
    <x:mergeCell ref="B45:D45"/>
    <x:mergeCell ref="E45:F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6756F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7" hidden="0" customWidth="1"/>
    <x:col min="3" max="3" width="14" hidden="0" customWidth="1"/>
    <x:col min="4" max="4" width="23" hidden="0" customWidth="1"/>
    <x:col min="5" max="5" width="8" hidden="0" customWidth="1"/>
    <x:col min="6" max="6" width="26" hidden="0" customWidth="1"/>
    <x:col min="7" max="7" width="23" hidden="0" customWidth="1"/>
    <x:col min="8" max="8" width="38" hidden="0" customWidth="1"/>
    <x:col min="9" max="9" width="58" hidden="0" customWidth="1"/>
    <x:col min="10" max="10" width="45" hidden="0" customWidth="1"/>
    <x:col min="11" max="11" width="48" hidden="0" customWidth="1"/>
    <x:col min="12" max="12" width="47" hidden="0" customWidth="1"/>
    <x:col min="13" max="13" width="18" hidden="0" customWidth="1"/>
    <x:col min="14" max="14" width="16" hidden="0" customWidth="1"/>
  </x:cols>
  <x:sheetData>
    <x:row r="1" ht="34" customHeight="1">
      <x:c r="A1" s="4" t="str">
        <x:v>12-week LinkedIn content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3" t="str">
        <x:v>All rows are proposals. Keep source and product-status labels with each asset. Dates follow Overview B4; review before release.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8" customHeight="1">
      <x:c r="A4" s="8" t="str">
        <x:v>Post ID</x:v>
      </x:c>
      <x:c r="B4" s="8" t="str">
        <x:v>Week</x:v>
      </x:c>
      <x:c r="C4" s="8" t="str">
        <x:v>Planned date</x:v>
      </x:c>
      <x:c r="D4" s="8" t="str">
        <x:v>Product</x:v>
      </x:c>
      <x:c r="E4" s="8" t="str">
        <x:v>Pillar</x:v>
      </x:c>
      <x:c r="F4" s="8" t="str">
        <x:v>Topic</x:v>
      </x:c>
      <x:c r="G4" s="8" t="str">
        <x:v>Format</x:v>
      </x:c>
      <x:c r="H4" s="8" t="str">
        <x:v>Headline or hook</x:v>
      </x:c>
      <x:c r="I4" s="8" t="str">
        <x:v>Brief copy direction</x:v>
      </x:c>
      <x:c r="J4" s="8" t="str">
        <x:v>Visual concept</x:v>
      </x:c>
      <x:c r="K4" s="8" t="str">
        <x:v>Call to action</x:v>
      </x:c>
      <x:c r="L4" s="8" t="str">
        <x:v>Destination or prompt</x:v>
      </x:c>
      <x:c r="M4" s="8" t="str">
        <x:v>Source IDs</x:v>
      </x:c>
      <x:c r="N4" s="8" t="str">
        <x:v>Status</x:v>
      </x:c>
    </x:row>
    <x:row r="5" ht="72" customHeight="1">
      <x:c r="A5" s="9" t="str">
        <x:v>LI-01-1</x:v>
      </x:c>
      <x:c r="B5" s="9" t="n">
        <x:v>1</x:v>
      </x:c>
      <x:c r="C5" s="11" t="n">
        <x:f>Overview!$B$4+(B5-1)*7+1</x:f>
        <x:v>46315</x:v>
      </x:c>
      <x:c r="D5" s="9" t="str">
        <x:v>Senpai</x:v>
      </x:c>
      <x:c r="E5" s="9" t="str">
        <x:v>S1</x:v>
      </x:c>
      <x:c r="F5" s="9" t="str">
        <x:v>Lesson objective</x:v>
      </x:c>
      <x:c r="G5" s="9" t="str">
        <x:v>Document carousel</x:v>
      </x:c>
      <x:c r="H5" s="13" t="str">
        <x:v>Begin with the lesson, not the robot</x:v>
      </x:c>
      <x:c r="I5" s="13" t="str">
        <x:v>Define one learning objective and ask where guided practice might fit; identify the activity as a paper concept.</x:v>
      </x:c>
      <x:c r="J5" s="13" t="str">
        <x:v>Objective, activity and exit-question cards.</x:v>
      </x:c>
      <x:c r="K5" s="13" t="str">
        <x:v>Read the public overview and identify one evaluation question.</x:v>
      </x:c>
      <x:c r="L5" s="13" t="str">
        <x:v>https://www.ingendynamics.com/senpai.html</x:v>
      </x:c>
      <x:c r="M5" s="13" t="str">
        <x:v>I2; R3; R4; R6</x:v>
      </x:c>
      <x:c r="N5" s="9" t="str">
        <x:v>Draft</x:v>
      </x:c>
    </x:row>
    <x:row r="6" ht="72" customHeight="1">
      <x:c r="A6" s="3" t="str">
        <x:v>LI-01-2</x:v>
      </x:c>
      <x:c r="B6" s="3" t="n">
        <x:v>1</x:v>
      </x:c>
      <x:c r="C6" s="12" t="n">
        <x:f>Overview!$B$4+(B6-1)*7+3</x:f>
        <x:v>46317</x:v>
      </x:c>
      <x:c r="D6" s="3" t="str">
        <x:v>Aido Rover</x:v>
      </x:c>
      <x:c r="E6" s="3" t="str">
        <x:v>R1</x:v>
      </x:c>
      <x:c r="F6" s="3" t="str">
        <x:v>Patrol scope</x:v>
      </x:c>
      <x:c r="G6" s="3" t="str">
        <x:v>Thought leadership text</x:v>
      </x:c>
      <x:c r="H6" s="14" t="str">
        <x:v>Define one patrol task before debating autonomy</x:v>
      </x:c>
      <x:c r="I6" s="14" t="str">
        <x:v>Use a fictional perimeter route with included conditions and exclusions; label Rover research stage.</x:v>
      </x:c>
      <x:c r="J6" s="14" t="str">
        <x:v>Site sketch with clear scope boundary.</x:v>
      </x:c>
      <x:c r="K6" s="14" t="str">
        <x:v>Read the public overview and identify one evaluation question.</x:v>
      </x:c>
      <x:c r="L6" s="14" t="str">
        <x:v>https://www.ingendynamics.com/</x:v>
      </x:c>
      <x:c r="M6" s="14" t="str">
        <x:v>I3; R2</x:v>
      </x:c>
      <x:c r="N6" s="3" t="str">
        <x:v>Draft</x:v>
      </x:c>
    </x:row>
    <x:row r="7" ht="72" customHeight="1">
      <x:c r="A7" s="9" t="str">
        <x:v>LI-01-3</x:v>
      </x:c>
      <x:c r="B7" s="9" t="n">
        <x:v>1</x:v>
      </x:c>
      <x:c r="C7" s="11" t="n">
        <x:f>Overview!$B$4+(B7-1)*7+5</x:f>
        <x:v>46319</x:v>
      </x:c>
      <x:c r="D7" s="9" t="str">
        <x:v>Sentinel Prime AI</x:v>
      </x:c>
      <x:c r="E7" s="9" t="str">
        <x:v>T1</x:v>
      </x:c>
      <x:c r="F7" s="9" t="str">
        <x:v>Workflow fit</x:v>
      </x:c>
      <x:c r="G7" s="9" t="str">
        <x:v>Single image</x:v>
      </x:c>
      <x:c r="H7" s="13" t="str">
        <x:v>Start with the response process you already have</x:v>
      </x:c>
      <x:c r="I7" s="13" t="str">
        <x:v>Position Sentinel within an evaluation of existing security workflows; attribute operational status to InGen.</x:v>
      </x:c>
      <x:c r="J7" s="13" t="str">
        <x:v>Current-process map with an open integration point.</x:v>
      </x:c>
      <x:c r="K7" s="13" t="str">
        <x:v>Read the public overview and identify one evaluation question.</x:v>
      </x:c>
      <x:c r="L7" s="13" t="str">
        <x:v>https://www.ingendynamics.com/</x:v>
      </x:c>
      <x:c r="M7" s="13" t="str">
        <x:v>I3; R2</x:v>
      </x:c>
      <x:c r="N7" s="9" t="str">
        <x:v>Draft</x:v>
      </x:c>
    </x:row>
    <x:row r="8" ht="72" customHeight="1">
      <x:c r="A8" s="3" t="str">
        <x:v>LI-02-1</x:v>
      </x:c>
      <x:c r="B8" s="3" t="n">
        <x:v>2</x:v>
      </x:c>
      <x:c r="C8" s="12" t="n">
        <x:f>Overview!$B$4+(B8-1)*7+1</x:f>
        <x:v>46322</x:v>
      </x:c>
      <x:c r="D8" s="3" t="str">
        <x:v>Senpai</x:v>
      </x:c>
      <x:c r="E8" s="3" t="str">
        <x:v>S2</x:v>
      </x:c>
      <x:c r="F8" s="3" t="str">
        <x:v>Teacher correction</x:v>
      </x:c>
      <x:c r="G8" s="3" t="str">
        <x:v>Document carousel</x:v>
      </x:c>
      <x:c r="H8" s="14" t="str">
        <x:v>What happens when the suggested answer is wrong?</x:v>
      </x:c>
      <x:c r="I8" s="14" t="str">
        <x:v>Use a fictional error and ask how the teacher would interrupt, correct and resume; no current feature demonstration.</x:v>
      </x:c>
      <x:c r="J8" s="14" t="str">
        <x:v>Teacher correction storyboard.</x:v>
      </x:c>
      <x:c r="K8" s="14" t="str">
        <x:v>Read the public overview and identify one evaluation question.</x:v>
      </x:c>
      <x:c r="L8" s="14" t="str">
        <x:v>https://www.ingendynamics.com/senpai.html</x:v>
      </x:c>
      <x:c r="M8" s="14" t="str">
        <x:v>I2; R3; R4; R6</x:v>
      </x:c>
      <x:c r="N8" s="3" t="str">
        <x:v>Draft</x:v>
      </x:c>
    </x:row>
    <x:row r="9" ht="72" customHeight="1">
      <x:c r="A9" s="9" t="str">
        <x:v>LI-02-2</x:v>
      </x:c>
      <x:c r="B9" s="9" t="n">
        <x:v>2</x:v>
      </x:c>
      <x:c r="C9" s="11" t="n">
        <x:f>Overview!$B$4+(B9-1)*7+3</x:f>
        <x:v>46324</x:v>
      </x:c>
      <x:c r="D9" s="9" t="str">
        <x:v>Aido Rover</x:v>
      </x:c>
      <x:c r="E9" s="9" t="str">
        <x:v>R2</x:v>
      </x:c>
      <x:c r="F9" s="9" t="str">
        <x:v>False alarm handoff</x:v>
      </x:c>
      <x:c r="G9" s="9" t="str">
        <x:v>Thought leadership text</x:v>
      </x:c>
      <x:c r="H9" s="13" t="str">
        <x:v>Who verifies a patrol alert?</x:v>
      </x:c>
      <x:c r="I9" s="13" t="str">
        <x:v>Map a proposed alert-to-human-verification sequence; state that the workflow needs product review.</x:v>
      </x:c>
      <x:c r="J9" s="13" t="str">
        <x:v>Three-step handoff diagram.</x:v>
      </x:c>
      <x:c r="K9" s="13" t="str">
        <x:v>Read the public overview and identify one evaluation question.</x:v>
      </x:c>
      <x:c r="L9" s="13" t="str">
        <x:v>https://www.ingendynamics.com/</x:v>
      </x:c>
      <x:c r="M9" s="13" t="str">
        <x:v>I3; R2</x:v>
      </x:c>
      <x:c r="N9" s="9" t="str">
        <x:v>Draft</x:v>
      </x:c>
    </x:row>
    <x:row r="10" ht="72" customHeight="1">
      <x:c r="A10" s="3" t="str">
        <x:v>LI-02-3</x:v>
      </x:c>
      <x:c r="B10" s="3" t="n">
        <x:v>2</x:v>
      </x:c>
      <x:c r="C10" s="12" t="n">
        <x:f>Overview!$B$4+(B10-1)*7+5</x:f>
        <x:v>46326</x:v>
      </x:c>
      <x:c r="D10" s="3" t="str">
        <x:v>Aido Humanoid</x:v>
      </x:c>
      <x:c r="E10" s="3" t="str">
        <x:v>H1</x:v>
      </x:c>
      <x:c r="F10" s="3" t="str">
        <x:v>Research question</x:v>
      </x:c>
      <x:c r="G10" s="3" t="str">
        <x:v>Single image</x:v>
      </x:c>
      <x:c r="H10" s="14" t="str">
        <x:v>A research update should start with a question</x:v>
      </x:c>
      <x:c r="I10" s="14" t="str">
        <x:v>Introduce one hypothetical manipulation research question; do not present it as InGen’s current experiment.</x:v>
      </x:c>
      <x:c r="J10" s="14" t="str">
        <x:v>Question / method / unknowns card.</x:v>
      </x:c>
      <x:c r="K10" s="14" t="str">
        <x:v>Read the public overview and identify one evaluation question.</x:v>
      </x:c>
      <x:c r="L10" s="14" t="str">
        <x:v>https://www.ingendynamics.com/</x:v>
      </x:c>
      <x:c r="M10" s="14" t="str">
        <x:v>I3</x:v>
      </x:c>
      <x:c r="N10" s="3" t="str">
        <x:v>Draft</x:v>
      </x:c>
    </x:row>
    <x:row r="11" ht="72" customHeight="1">
      <x:c r="A11" s="9" t="str">
        <x:v>LI-03-1</x:v>
      </x:c>
      <x:c r="B11" s="9" t="n">
        <x:v>3</x:v>
      </x:c>
      <x:c r="C11" s="11" t="n">
        <x:f>Overview!$B$4+(B11-1)*7+1</x:f>
        <x:v>46329</x:v>
      </x:c>
      <x:c r="D11" s="9" t="str">
        <x:v>Senpai</x:v>
      </x:c>
      <x:c r="E11" s="9" t="str">
        <x:v>S3</x:v>
      </x:c>
      <x:c r="F11" s="9" t="str">
        <x:v>School evaluation</x:v>
      </x:c>
      <x:c r="G11" s="9" t="str">
        <x:v>Document carousel</x:v>
      </x:c>
      <x:c r="H11" s="13" t="str">
        <x:v>A school needs more than an engaging demo</x:v>
      </x:c>
      <x:c r="I11" s="13" t="str">
        <x:v>Separate learning evidence, preparation time, training and cost questions.</x:v>
      </x:c>
      <x:c r="J11" s="13" t="str">
        <x:v>Four-part evaluation checklist.</x:v>
      </x:c>
      <x:c r="K11" s="13" t="str">
        <x:v>Read the public overview and identify one evaluation question.</x:v>
      </x:c>
      <x:c r="L11" s="13" t="str">
        <x:v>https://www.ingendynamics.com/senpai.html</x:v>
      </x:c>
      <x:c r="M11" s="13" t="str">
        <x:v>I2; R3; R4; R6</x:v>
      </x:c>
      <x:c r="N11" s="9" t="str">
        <x:v>Draft</x:v>
      </x:c>
    </x:row>
    <x:row r="12" ht="72" customHeight="1">
      <x:c r="A12" s="3" t="str">
        <x:v>LI-03-2</x:v>
      </x:c>
      <x:c r="B12" s="3" t="n">
        <x:v>3</x:v>
      </x:c>
      <x:c r="C12" s="12" t="n">
        <x:f>Overview!$B$4+(B12-1)*7+3</x:f>
        <x:v>46331</x:v>
      </x:c>
      <x:c r="D12" s="3" t="str">
        <x:v>Aido Rover</x:v>
      </x:c>
      <x:c r="E12" s="3" t="str">
        <x:v>R3</x:v>
      </x:c>
      <x:c r="F12" s="3" t="str">
        <x:v>Pilot acceptance</x:v>
      </x:c>
      <x:c r="G12" s="3" t="str">
        <x:v>Thought leadership text</x:v>
      </x:c>
      <x:c r="H12" s="14" t="str">
        <x:v>A pilot needs acceptance criteria before it needs a headline</x:v>
      </x:c>
      <x:c r="I12" s="14" t="str">
        <x:v>List coverage, false alarms, interventions and response ownership as blank evaluation fields.</x:v>
      </x:c>
      <x:c r="J12" s="14" t="str">
        <x:v>Unfilled acceptance worksheet.</x:v>
      </x:c>
      <x:c r="K12" s="14" t="str">
        <x:v>Read the public overview and identify one evaluation question.</x:v>
      </x:c>
      <x:c r="L12" s="14" t="str">
        <x:v>https://www.ingendynamics.com/</x:v>
      </x:c>
      <x:c r="M12" s="14" t="str">
        <x:v>I3; R2</x:v>
      </x:c>
      <x:c r="N12" s="3" t="str">
        <x:v>Draft</x:v>
      </x:c>
    </x:row>
    <x:row r="13" ht="72" customHeight="1">
      <x:c r="A13" s="9" t="str">
        <x:v>LI-03-3</x:v>
      </x:c>
      <x:c r="B13" s="9" t="n">
        <x:v>3</x:v>
      </x:c>
      <x:c r="C13" s="11" t="n">
        <x:f>Overview!$B$4+(B13-1)*7+5</x:f>
        <x:v>46333</x:v>
      </x:c>
      <x:c r="D13" s="9" t="str">
        <x:v>Sentinel Prime AI</x:v>
      </x:c>
      <x:c r="E13" s="9" t="str">
        <x:v>T2</x:v>
      </x:c>
      <x:c r="F13" s="9" t="str">
        <x:v>Reference context</x:v>
      </x:c>
      <x:c r="G13" s="9" t="str">
        <x:v>Single image</x:v>
      </x:c>
      <x:c r="H13" s="13" t="str">
        <x:v>A useful reference explains its conditions</x:v>
      </x:c>
      <x:c r="I13" s="13" t="str">
        <x:v>List site context, measurement period and limitations required for a meaningful reference; no customer story invented.</x:v>
      </x:c>
      <x:c r="J13" s="13" t="str">
        <x:v>Reference-evidence checklist.</x:v>
      </x:c>
      <x:c r="K13" s="13" t="str">
        <x:v>Read the public overview and identify one evaluation question.</x:v>
      </x:c>
      <x:c r="L13" s="13" t="str">
        <x:v>https://www.ingendynamics.com/</x:v>
      </x:c>
      <x:c r="M13" s="13" t="str">
        <x:v>I3; R2</x:v>
      </x:c>
      <x:c r="N13" s="9" t="str">
        <x:v>Draft</x:v>
      </x:c>
    </x:row>
    <x:row r="14" ht="72" customHeight="1">
      <x:c r="A14" s="3" t="str">
        <x:v>LI-04-1</x:v>
      </x:c>
      <x:c r="B14" s="3" t="n">
        <x:v>4</x:v>
      </x:c>
      <x:c r="C14" s="12" t="n">
        <x:f>Overview!$B$4+(B14-1)*7+1</x:f>
        <x:v>46336</x:v>
      </x:c>
      <x:c r="D14" s="3" t="str">
        <x:v>Senpai</x:v>
      </x:c>
      <x:c r="E14" s="3" t="str">
        <x:v>S1</x:v>
      </x:c>
      <x:c r="F14" s="3" t="str">
        <x:v>Curriculum fit</x:v>
      </x:c>
      <x:c r="G14" s="3" t="str">
        <x:v>Document carousel</x:v>
      </x:c>
      <x:c r="H14" s="14" t="str">
        <x:v>Where does the activity fit in your existing plan?</x:v>
      </x:c>
      <x:c r="I14" s="14" t="str">
        <x:v>Use one hypothetical fractions lesson and map prerequisite, task and exit question; do not claim standards certification.</x:v>
      </x:c>
      <x:c r="J14" s="14" t="str">
        <x:v>Lesson-sequence diagram.</x:v>
      </x:c>
      <x:c r="K14" s="14" t="str">
        <x:v>Read the public overview and identify one evaluation question.</x:v>
      </x:c>
      <x:c r="L14" s="14" t="str">
        <x:v>https://www.ingendynamics.com/senpai.html</x:v>
      </x:c>
      <x:c r="M14" s="14" t="str">
        <x:v>I2; R3; R4; R6</x:v>
      </x:c>
      <x:c r="N14" s="3" t="str">
        <x:v>Draft</x:v>
      </x:c>
    </x:row>
    <x:row r="15" ht="72" customHeight="1">
      <x:c r="A15" s="9" t="str">
        <x:v>LI-04-2</x:v>
      </x:c>
      <x:c r="B15" s="9" t="n">
        <x:v>4</x:v>
      </x:c>
      <x:c r="C15" s="11" t="n">
        <x:f>Overview!$B$4+(B15-1)*7+3</x:f>
        <x:v>46338</x:v>
      </x:c>
      <x:c r="D15" s="9" t="str">
        <x:v>Sentinel Prime AI</x:v>
      </x:c>
      <x:c r="E15" s="9" t="str">
        <x:v>T3</x:v>
      </x:c>
      <x:c r="F15" s="9" t="str">
        <x:v>Information access</x:v>
      </x:c>
      <x:c r="G15" s="9" t="str">
        <x:v>Thought leadership text</x:v>
      </x:c>
      <x:c r="H15" s="13" t="str">
        <x:v>Who should be able to view event information?</x:v>
      </x:c>
      <x:c r="I15" s="13" t="str">
        <x:v>Ask the buyer to define access roles before evaluating technical implementation.</x:v>
      </x:c>
      <x:c r="J15" s="13" t="str">
        <x:v>Roles-by-information matrix with blank permissions.</x:v>
      </x:c>
      <x:c r="K15" s="13" t="str">
        <x:v>Read the public overview and identify one evaluation question.</x:v>
      </x:c>
      <x:c r="L15" s="13" t="str">
        <x:v>https://www.ingendynamics.com/</x:v>
      </x:c>
      <x:c r="M15" s="13" t="str">
        <x:v>I3; R2</x:v>
      </x:c>
      <x:c r="N15" s="9" t="str">
        <x:v>Draft</x:v>
      </x:c>
    </x:row>
    <x:row r="16" ht="72" customHeight="1">
      <x:c r="A16" s="3" t="str">
        <x:v>LI-04-3</x:v>
      </x:c>
      <x:c r="B16" s="3" t="n">
        <x:v>4</x:v>
      </x:c>
      <x:c r="C16" s="12" t="n">
        <x:f>Overview!$B$4+(B16-1)*7+5</x:f>
        <x:v>46340</x:v>
      </x:c>
      <x:c r="D16" s="3" t="str">
        <x:v>Aido Humanoid</x:v>
      </x:c>
      <x:c r="E16" s="3" t="str">
        <x:v>H2</x:v>
      </x:c>
      <x:c r="F16" s="3" t="str">
        <x:v>Demo conditions</x:v>
      </x:c>
      <x:c r="G16" s="3" t="str">
        <x:v>Single image</x:v>
      </x:c>
      <x:c r="H16" s="14" t="str">
        <x:v>Read the conditions behind a robot demonstration</x:v>
      </x:c>
      <x:c r="I16" s="14" t="str">
        <x:v>Explain task, environment and intervention fields needed to interpret footage.</x:v>
      </x:c>
      <x:c r="J16" s="14" t="str">
        <x:v>Annotated demonstration checklist without product footage.</x:v>
      </x:c>
      <x:c r="K16" s="14" t="str">
        <x:v>Read the public overview and identify one evaluation question.</x:v>
      </x:c>
      <x:c r="L16" s="14" t="str">
        <x:v>https://www.ingendynamics.com/</x:v>
      </x:c>
      <x:c r="M16" s="14" t="str">
        <x:v>I3</x:v>
      </x:c>
      <x:c r="N16" s="3" t="str">
        <x:v>Draft</x:v>
      </x:c>
    </x:row>
    <x:row r="17" ht="72" customHeight="1">
      <x:c r="A17" s="9" t="str">
        <x:v>LI-05-1</x:v>
      </x:c>
      <x:c r="B17" s="9" t="n">
        <x:v>5</x:v>
      </x:c>
      <x:c r="C17" s="11" t="n">
        <x:f>Overview!$B$4+(B17-1)*7+1</x:f>
        <x:v>46343</x:v>
      </x:c>
      <x:c r="D17" s="9" t="str">
        <x:v>Senpai</x:v>
      </x:c>
      <x:c r="E17" s="9" t="str">
        <x:v>S2</x:v>
      </x:c>
      <x:c r="F17" s="9" t="str">
        <x:v>Parent explanation</x:v>
      </x:c>
      <x:c r="G17" s="9" t="str">
        <x:v>Document carousel</x:v>
      </x:c>
      <x:c r="H17" s="13" t="str">
        <x:v>Explain the teacher’s role to families</x:v>
      </x:c>
      <x:c r="I17" s="13" t="str">
        <x:v>Draft a parent-facing outline explaining the concept, adult supervision and unresolved questions.</x:v>
      </x:c>
      <x:c r="J17" s="13" t="str">
        <x:v>One-page letter outline graphic.</x:v>
      </x:c>
      <x:c r="K17" s="13" t="str">
        <x:v>Read the public overview and identify one evaluation question.</x:v>
      </x:c>
      <x:c r="L17" s="13" t="str">
        <x:v>https://www.ingendynamics.com/senpai.html</x:v>
      </x:c>
      <x:c r="M17" s="13" t="str">
        <x:v>I2; R3; R4; R6</x:v>
      </x:c>
      <x:c r="N17" s="9" t="str">
        <x:v>Draft</x:v>
      </x:c>
    </x:row>
    <x:row r="18" ht="72" customHeight="1">
      <x:c r="A18" s="3" t="str">
        <x:v>LI-05-2</x:v>
      </x:c>
      <x:c r="B18" s="3" t="n">
        <x:v>5</x:v>
      </x:c>
      <x:c r="C18" s="12" t="n">
        <x:f>Overview!$B$4+(B18-1)*7+3</x:f>
        <x:v>46345</x:v>
      </x:c>
      <x:c r="D18" s="3" t="str">
        <x:v>Aido Rover</x:v>
      </x:c>
      <x:c r="E18" s="3" t="str">
        <x:v>R1</x:v>
      </x:c>
      <x:c r="F18" s="3" t="str">
        <x:v>Excluded conditions</x:v>
      </x:c>
      <x:c r="G18" s="3" t="str">
        <x:v>Thought leadership text</x:v>
      </x:c>
      <x:c r="H18" s="14" t="str">
        <x:v>The exclusions belong in the patrol story</x:v>
      </x:c>
      <x:c r="I18" s="14" t="str">
        <x:v>Ask about weather, terrain and restricted zones without implying performance limits are known.</x:v>
      </x:c>
      <x:c r="J18" s="14" t="str">
        <x:v>Included / excluded / unknown map legend.</x:v>
      </x:c>
      <x:c r="K18" s="14" t="str">
        <x:v>Read the public overview and identify one evaluation question.</x:v>
      </x:c>
      <x:c r="L18" s="14" t="str">
        <x:v>https://www.ingendynamics.com/</x:v>
      </x:c>
      <x:c r="M18" s="14" t="str">
        <x:v>I3; R2</x:v>
      </x:c>
      <x:c r="N18" s="3" t="str">
        <x:v>Draft</x:v>
      </x:c>
    </x:row>
    <x:row r="19" ht="72" customHeight="1">
      <x:c r="A19" s="9" t="str">
        <x:v>LI-05-3</x:v>
      </x:c>
      <x:c r="B19" s="9" t="n">
        <x:v>5</x:v>
      </x:c>
      <x:c r="C19" s="11" t="n">
        <x:f>Overview!$B$4+(B19-1)*7+5</x:f>
        <x:v>46347</x:v>
      </x:c>
      <x:c r="D19" s="9" t="str">
        <x:v>Sentinel Prime AI</x:v>
      </x:c>
      <x:c r="E19" s="9" t="str">
        <x:v>T1</x:v>
      </x:c>
      <x:c r="F19" s="9" t="str">
        <x:v>Event ownership</x:v>
      </x:c>
      <x:c r="G19" s="9" t="str">
        <x:v>Single image</x:v>
      </x:c>
      <x:c r="H19" s="13" t="str">
        <x:v>Information is only useful when someone knows what to do next</x:v>
      </x:c>
      <x:c r="I19" s="13" t="str">
        <x:v>Show a proposed human response ownership map; do not assert automated response capabilities.</x:v>
      </x:c>
      <x:c r="J19" s="13" t="str">
        <x:v>Event-to-owner workflow.</x:v>
      </x:c>
      <x:c r="K19" s="13" t="str">
        <x:v>Read the public overview and identify one evaluation question.</x:v>
      </x:c>
      <x:c r="L19" s="13" t="str">
        <x:v>https://www.ingendynamics.com/</x:v>
      </x:c>
      <x:c r="M19" s="13" t="str">
        <x:v>I3; R2</x:v>
      </x:c>
      <x:c r="N19" s="9" t="str">
        <x:v>Draft</x:v>
      </x:c>
    </x:row>
    <x:row r="20" ht="72" customHeight="1">
      <x:c r="A20" s="3" t="str">
        <x:v>LI-06-1</x:v>
      </x:c>
      <x:c r="B20" s="3" t="n">
        <x:v>6</x:v>
      </x:c>
      <x:c r="C20" s="12" t="n">
        <x:f>Overview!$B$4+(B20-1)*7+1</x:f>
        <x:v>46350</x:v>
      </x:c>
      <x:c r="D20" s="3" t="str">
        <x:v>Senpai</x:v>
      </x:c>
      <x:c r="E20" s="3" t="str">
        <x:v>S3</x:v>
      </x:c>
      <x:c r="F20" s="3" t="str">
        <x:v>Training needs</x:v>
      </x:c>
      <x:c r="G20" s="3" t="str">
        <x:v>Document carousel</x:v>
      </x:c>
      <x:c r="H20" s="14" t="str">
        <x:v>Ask teachers about setup before promising saved time</x:v>
      </x:c>
      <x:c r="I20" s="14" t="str">
        <x:v>List preparation, training and troubleshooting questions; no productivity claim.</x:v>
      </x:c>
      <x:c r="J20" s="14" t="str">
        <x:v>Before-class preparation checklist.</x:v>
      </x:c>
      <x:c r="K20" s="14" t="str">
        <x:v>Read the public overview and identify one evaluation question.</x:v>
      </x:c>
      <x:c r="L20" s="14" t="str">
        <x:v>https://www.ingendynamics.com/senpai.html</x:v>
      </x:c>
      <x:c r="M20" s="14" t="str">
        <x:v>I2; R3; R4; R6</x:v>
      </x:c>
      <x:c r="N20" s="3" t="str">
        <x:v>Draft</x:v>
      </x:c>
    </x:row>
    <x:row r="21" ht="72" customHeight="1">
      <x:c r="A21" s="9" t="str">
        <x:v>LI-06-2</x:v>
      </x:c>
      <x:c r="B21" s="9" t="n">
        <x:v>6</x:v>
      </x:c>
      <x:c r="C21" s="11" t="n">
        <x:f>Overview!$B$4+(B21-1)*7+3</x:f>
        <x:v>46352</x:v>
      </x:c>
      <x:c r="D21" s="9" t="str">
        <x:v>Aido Rover</x:v>
      </x:c>
      <x:c r="E21" s="9" t="str">
        <x:v>R2</x:v>
      </x:c>
      <x:c r="F21" s="9" t="str">
        <x:v>Connectivity loss</x:v>
      </x:c>
      <x:c r="G21" s="9" t="str">
        <x:v>Thought leadership text</x:v>
      </x:c>
      <x:c r="H21" s="13" t="str">
        <x:v>What is the human plan when a connection drops?</x:v>
      </x:c>
      <x:c r="I21" s="13" t="str">
        <x:v>Present a tabletop question, not an asserted fail-safe feature.</x:v>
      </x:c>
      <x:c r="J21" s="13" t="str">
        <x:v>Exception decision tree.</x:v>
      </x:c>
      <x:c r="K21" s="13" t="str">
        <x:v>Read the public overview and identify one evaluation question.</x:v>
      </x:c>
      <x:c r="L21" s="13" t="str">
        <x:v>https://www.ingendynamics.com/</x:v>
      </x:c>
      <x:c r="M21" s="13" t="str">
        <x:v>I3; R2</x:v>
      </x:c>
      <x:c r="N21" s="9" t="str">
        <x:v>Draft</x:v>
      </x:c>
    </x:row>
    <x:row r="22" ht="72" customHeight="1">
      <x:c r="A22" s="3" t="str">
        <x:v>LI-06-3</x:v>
      </x:c>
      <x:c r="B22" s="3" t="n">
        <x:v>6</x:v>
      </x:c>
      <x:c r="C22" s="12" t="n">
        <x:f>Overview!$B$4+(B22-1)*7+5</x:f>
        <x:v>46354</x:v>
      </x:c>
      <x:c r="D22" s="3" t="str">
        <x:v>Aido Humanoid</x:v>
      </x:c>
      <x:c r="E22" s="3" t="str">
        <x:v>H3</x:v>
      </x:c>
      <x:c r="F22" s="3" t="str">
        <x:v>Technical dialogue</x:v>
      </x:c>
      <x:c r="G22" s="3" t="str">
        <x:v>Single image</x:v>
      </x:c>
      <x:c r="H22" s="14" t="str">
        <x:v>Which evaluation question would you add?</x:v>
      </x:c>
      <x:c r="I22" s="14" t="str">
        <x:v>Invite a bounded technical discussion; do not imply new partnerships or an open recruitment programme.</x:v>
      </x:c>
      <x:c r="J22" s="14" t="str">
        <x:v>Research question card.</x:v>
      </x:c>
      <x:c r="K22" s="14" t="str">
        <x:v>Read the public overview and identify one evaluation question.</x:v>
      </x:c>
      <x:c r="L22" s="14" t="str">
        <x:v>https://www.ingendynamics.com/</x:v>
      </x:c>
      <x:c r="M22" s="14" t="str">
        <x:v>I3</x:v>
      </x:c>
      <x:c r="N22" s="3" t="str">
        <x:v>Draft</x:v>
      </x:c>
    </x:row>
    <x:row r="23" ht="72" customHeight="1">
      <x:c r="A23" s="9" t="str">
        <x:v>LI-07-1</x:v>
      </x:c>
      <x:c r="B23" s="9" t="n">
        <x:v>7</x:v>
      </x:c>
      <x:c r="C23" s="11" t="n">
        <x:f>Overview!$B$4+(B23-1)*7+1</x:f>
        <x:v>46357</x:v>
      </x:c>
      <x:c r="D23" s="9" t="str">
        <x:v>Senpai</x:v>
      </x:c>
      <x:c r="E23" s="9" t="str">
        <x:v>S1</x:v>
      </x:c>
      <x:c r="F23" s="9" t="str">
        <x:v>Learning versus engagement</x:v>
      </x:c>
      <x:c r="G23" s="9" t="str">
        <x:v>Document carousel</x:v>
      </x:c>
      <x:c r="H23" s="13" t="str">
        <x:v>Enjoyment and understanding need different measures</x:v>
      </x:c>
      <x:c r="I23" s="13" t="str">
        <x:v>Contrast a student’s enjoyment response with an explanation of the taught idea.</x:v>
      </x:c>
      <x:c r="J23" s="13" t="str">
        <x:v>Two-column measurement card.</x:v>
      </x:c>
      <x:c r="K23" s="13" t="str">
        <x:v>Read the public overview and identify one evaluation question.</x:v>
      </x:c>
      <x:c r="L23" s="13" t="str">
        <x:v>https://www.ingendynamics.com/senpai.html</x:v>
      </x:c>
      <x:c r="M23" s="13" t="str">
        <x:v>I2; R3; R4; R6</x:v>
      </x:c>
      <x:c r="N23" s="9" t="str">
        <x:v>Draft</x:v>
      </x:c>
    </x:row>
    <x:row r="24" ht="72" customHeight="1">
      <x:c r="A24" s="3" t="str">
        <x:v>LI-07-2</x:v>
      </x:c>
      <x:c r="B24" s="3" t="n">
        <x:v>7</x:v>
      </x:c>
      <x:c r="C24" s="12" t="n">
        <x:f>Overview!$B$4+(B24-1)*7+3</x:f>
        <x:v>46359</x:v>
      </x:c>
      <x:c r="D24" s="3" t="str">
        <x:v>Aido Rover</x:v>
      </x:c>
      <x:c r="E24" s="3" t="str">
        <x:v>R3</x:v>
      </x:c>
      <x:c r="F24" s="3" t="str">
        <x:v>Staff effort</x:v>
      </x:c>
      <x:c r="G24" s="3" t="str">
        <x:v>Thought leadership text</x:v>
      </x:c>
      <x:c r="H24" s="14" t="str">
        <x:v>Measure the work a pilot adds as well as what it might save</x:v>
      </x:c>
      <x:c r="I24" s="14" t="str">
        <x:v>Propose tracking setup, monitoring and interventions; do not estimate ROI.</x:v>
      </x:c>
      <x:c r="J24" s="14" t="str">
        <x:v>Empty staff-effort log.</x:v>
      </x:c>
      <x:c r="K24" s="14" t="str">
        <x:v>Read the public overview and identify one evaluation question.</x:v>
      </x:c>
      <x:c r="L24" s="14" t="str">
        <x:v>https://www.ingendynamics.com/</x:v>
      </x:c>
      <x:c r="M24" s="14" t="str">
        <x:v>I3; R2</x:v>
      </x:c>
      <x:c r="N24" s="3" t="str">
        <x:v>Draft</x:v>
      </x:c>
    </x:row>
    <x:row r="25" ht="72" customHeight="1">
      <x:c r="A25" s="9" t="str">
        <x:v>LI-07-3</x:v>
      </x:c>
      <x:c r="B25" s="9" t="n">
        <x:v>7</x:v>
      </x:c>
      <x:c r="C25" s="11" t="n">
        <x:f>Overview!$B$4+(B25-1)*7+5</x:f>
        <x:v>46361</x:v>
      </x:c>
      <x:c r="D25" s="9" t="str">
        <x:v>Sentinel Prime AI</x:v>
      </x:c>
      <x:c r="E25" s="9" t="str">
        <x:v>T2</x:v>
      </x:c>
      <x:c r="F25" s="9" t="str">
        <x:v>Claim precision</x:v>
      </x:c>
      <x:c r="G25" s="9" t="str">
        <x:v>Single image</x:v>
      </x:c>
      <x:c r="H25" s="13" t="str">
        <x:v>Match the evidence to the exact security claim</x:v>
      </x:c>
      <x:c r="I25" s="13" t="str">
        <x:v>Contrast an attributed status statement with an unsupported outcome guarantee.</x:v>
      </x:c>
      <x:c r="J25" s="13" t="str">
        <x:v>Claim and evidence pairing card.</x:v>
      </x:c>
      <x:c r="K25" s="13" t="str">
        <x:v>Read the public overview and identify one evaluation question.</x:v>
      </x:c>
      <x:c r="L25" s="13" t="str">
        <x:v>https://www.ingendynamics.com/</x:v>
      </x:c>
      <x:c r="M25" s="13" t="str">
        <x:v>I3; R2</x:v>
      </x:c>
      <x:c r="N25" s="9" t="str">
        <x:v>Draft</x:v>
      </x:c>
    </x:row>
    <x:row r="26" ht="72" customHeight="1">
      <x:c r="A26" s="3" t="str">
        <x:v>LI-08-1</x:v>
      </x:c>
      <x:c r="B26" s="3" t="n">
        <x:v>8</x:v>
      </x:c>
      <x:c r="C26" s="12" t="n">
        <x:f>Overview!$B$4+(B26-1)*7+1</x:f>
        <x:v>46364</x:v>
      </x:c>
      <x:c r="D26" s="3" t="str">
        <x:v>Senpai</x:v>
      </x:c>
      <x:c r="E26" s="3" t="str">
        <x:v>S2</x:v>
      </x:c>
      <x:c r="F26" s="3" t="str">
        <x:v>Classroom authority</x:v>
      </x:c>
      <x:c r="G26" s="3" t="str">
        <x:v>Document carousel</x:v>
      </x:c>
      <x:c r="H26" s="14" t="str">
        <x:v>A suggestion should remain a suggestion</x:v>
      </x:c>
      <x:c r="I26" s="14" t="str">
        <x:v>Discuss proposed teacher review and correction; attribute the design intention to the public page.</x:v>
      </x:c>
      <x:c r="J26" s="14" t="str">
        <x:v>Teacher decision point in a workflow.</x:v>
      </x:c>
      <x:c r="K26" s="14" t="str">
        <x:v>Read the public overview and identify one evaluation question.</x:v>
      </x:c>
      <x:c r="L26" s="14" t="str">
        <x:v>https://www.ingendynamics.com/senpai.html</x:v>
      </x:c>
      <x:c r="M26" s="14" t="str">
        <x:v>I2; R3; R4; R6</x:v>
      </x:c>
      <x:c r="N26" s="3" t="str">
        <x:v>Draft</x:v>
      </x:c>
    </x:row>
    <x:row r="27" ht="72" customHeight="1">
      <x:c r="A27" s="9" t="str">
        <x:v>LI-08-2</x:v>
      </x:c>
      <x:c r="B27" s="9" t="n">
        <x:v>8</x:v>
      </x:c>
      <x:c r="C27" s="11" t="n">
        <x:f>Overview!$B$4+(B27-1)*7+3</x:f>
        <x:v>46366</x:v>
      </x:c>
      <x:c r="D27" s="9" t="str">
        <x:v>Sentinel Prime AI</x:v>
      </x:c>
      <x:c r="E27" s="9" t="str">
        <x:v>T3</x:v>
      </x:c>
      <x:c r="F27" s="9" t="str">
        <x:v>Retention questions</x:v>
      </x:c>
      <x:c r="G27" s="9" t="str">
        <x:v>Thought leadership text</x:v>
      </x:c>
      <x:c r="H27" s="13" t="str">
        <x:v>Ask about retention before collecting more information</x:v>
      </x:c>
      <x:c r="I27" s="13" t="str">
        <x:v>Provide questions for the product and buyer IT teams; do not state a verified retention policy.</x:v>
      </x:c>
      <x:c r="J27" s="13" t="str">
        <x:v>Retention decision checklist.</x:v>
      </x:c>
      <x:c r="K27" s="13" t="str">
        <x:v>Read the public overview and identify one evaluation question.</x:v>
      </x:c>
      <x:c r="L27" s="13" t="str">
        <x:v>https://www.ingendynamics.com/</x:v>
      </x:c>
      <x:c r="M27" s="13" t="str">
        <x:v>I3; R2</x:v>
      </x:c>
      <x:c r="N27" s="9" t="str">
        <x:v>Draft</x:v>
      </x:c>
    </x:row>
    <x:row r="28" ht="72" customHeight="1">
      <x:c r="A28" s="3" t="str">
        <x:v>LI-08-3</x:v>
      </x:c>
      <x:c r="B28" s="3" t="n">
        <x:v>8</x:v>
      </x:c>
      <x:c r="C28" s="12" t="n">
        <x:f>Overview!$B$4+(B28-1)*7+5</x:f>
        <x:v>46368</x:v>
      </x:c>
      <x:c r="D28" s="3" t="str">
        <x:v>Aido Humanoid</x:v>
      </x:c>
      <x:c r="E28" s="3" t="str">
        <x:v>H1</x:v>
      </x:c>
      <x:c r="F28" s="3" t="str">
        <x:v>Progress definition</x:v>
      </x:c>
      <x:c r="G28" s="3" t="str">
        <x:v>Single image</x:v>
      </x:c>
      <x:c r="H28" s="14" t="str">
        <x:v>What would count as progress on one task?</x:v>
      </x:c>
      <x:c r="I28" s="14" t="str">
        <x:v>Separate proposed milestone, measurement and unresolved engineering issue.</x:v>
      </x:c>
      <x:c r="J28" s="14" t="str">
        <x:v>Three-column research note.</x:v>
      </x:c>
      <x:c r="K28" s="14" t="str">
        <x:v>Read the public overview and identify one evaluation question.</x:v>
      </x:c>
      <x:c r="L28" s="14" t="str">
        <x:v>https://www.ingendynamics.com/</x:v>
      </x:c>
      <x:c r="M28" s="14" t="str">
        <x:v>I3</x:v>
      </x:c>
      <x:c r="N28" s="3" t="str">
        <x:v>Draft</x:v>
      </x:c>
    </x:row>
    <x:row r="29" ht="72" customHeight="1">
      <x:c r="A29" s="9" t="str">
        <x:v>LI-09-1</x:v>
      </x:c>
      <x:c r="B29" s="9" t="n">
        <x:v>9</x:v>
      </x:c>
      <x:c r="C29" s="11" t="n">
        <x:f>Overview!$B$4+(B29-1)*7+1</x:f>
        <x:v>46371</x:v>
      </x:c>
      <x:c r="D29" s="9" t="str">
        <x:v>Senpai</x:v>
      </x:c>
      <x:c r="E29" s="9" t="str">
        <x:v>S3</x:v>
      </x:c>
      <x:c r="F29" s="9" t="str">
        <x:v>Pilot question</x:v>
      </x:c>
      <x:c r="G29" s="9" t="str">
        <x:v>Document carousel</x:v>
      </x:c>
      <x:c r="H29" s="13" t="str">
        <x:v>Write the evaluation question before designing the trial</x:v>
      </x:c>
      <x:c r="I29" s="13" t="str">
        <x:v>Suggest an adult educator review of a paper lesson before any child trial; no consented trial is implied.</x:v>
      </x:c>
      <x:c r="J29" s="13" t="str">
        <x:v>Research-question worksheet.</x:v>
      </x:c>
      <x:c r="K29" s="13" t="str">
        <x:v>Read the public overview and identify one evaluation question.</x:v>
      </x:c>
      <x:c r="L29" s="13" t="str">
        <x:v>https://www.ingendynamics.com/senpai.html</x:v>
      </x:c>
      <x:c r="M29" s="13" t="str">
        <x:v>I2; R3; R4; R6</x:v>
      </x:c>
      <x:c r="N29" s="9" t="str">
        <x:v>Draft</x:v>
      </x:c>
    </x:row>
    <x:row r="30" ht="72" customHeight="1">
      <x:c r="A30" s="3" t="str">
        <x:v>LI-09-2</x:v>
      </x:c>
      <x:c r="B30" s="3" t="n">
        <x:v>9</x:v>
      </x:c>
      <x:c r="C30" s="12" t="n">
        <x:f>Overview!$B$4+(B30-1)*7+3</x:f>
        <x:v>46373</x:v>
      </x:c>
      <x:c r="D30" s="3" t="str">
        <x:v>Aido Rover</x:v>
      </x:c>
      <x:c r="E30" s="3" t="str">
        <x:v>R1</x:v>
      </x:c>
      <x:c r="F30" s="3" t="str">
        <x:v>Site variation</x:v>
      </x:c>
      <x:c r="G30" s="3" t="str">
        <x:v>Thought leadership text</x:v>
      </x:c>
      <x:c r="H30" s="14" t="str">
        <x:v>One site scenario cannot represent every site</x:v>
      </x:c>
      <x:c r="I30" s="14" t="str">
        <x:v>Compare fictional campus and utility-site questions, with no performance prediction.</x:v>
      </x:c>
      <x:c r="J30" s="14" t="str">
        <x:v>Two site-condition cards.</x:v>
      </x:c>
      <x:c r="K30" s="14" t="str">
        <x:v>Read the public overview and identify one evaluation question.</x:v>
      </x:c>
      <x:c r="L30" s="14" t="str">
        <x:v>https://www.ingendynamics.com/</x:v>
      </x:c>
      <x:c r="M30" s="14" t="str">
        <x:v>I3; R2</x:v>
      </x:c>
      <x:c r="N30" s="3" t="str">
        <x:v>Draft</x:v>
      </x:c>
    </x:row>
    <x:row r="31" ht="72" customHeight="1">
      <x:c r="A31" s="9" t="str">
        <x:v>LI-09-3</x:v>
      </x:c>
      <x:c r="B31" s="9" t="n">
        <x:v>9</x:v>
      </x:c>
      <x:c r="C31" s="11" t="n">
        <x:f>Overview!$B$4+(B31-1)*7+5</x:f>
        <x:v>46375</x:v>
      </x:c>
      <x:c r="D31" s="9" t="str">
        <x:v>Sentinel Prime AI</x:v>
      </x:c>
      <x:c r="E31" s="9" t="str">
        <x:v>T1</x:v>
      </x:c>
      <x:c r="F31" s="9" t="str">
        <x:v>Integration review</x:v>
      </x:c>
      <x:c r="G31" s="9" t="str">
        <x:v>Single image</x:v>
      </x:c>
      <x:c r="H31" s="13" t="str">
        <x:v>What must connect to the existing security process?</x:v>
      </x:c>
      <x:c r="I31" s="13" t="str">
        <x:v>Outline interface, responsibility and exception questions without claiming a named integration.</x:v>
      </x:c>
      <x:c r="J31" s="13" t="str">
        <x:v>Concept system boundary map.</x:v>
      </x:c>
      <x:c r="K31" s="13" t="str">
        <x:v>Read the public overview and identify one evaluation question.</x:v>
      </x:c>
      <x:c r="L31" s="13" t="str">
        <x:v>https://www.ingendynamics.com/</x:v>
      </x:c>
      <x:c r="M31" s="13" t="str">
        <x:v>I3; R2</x:v>
      </x:c>
      <x:c r="N31" s="9" t="str">
        <x:v>Draft</x:v>
      </x:c>
    </x:row>
    <x:row r="32" ht="72" customHeight="1">
      <x:c r="A32" s="3" t="str">
        <x:v>LI-10-1</x:v>
      </x:c>
      <x:c r="B32" s="3" t="n">
        <x:v>10</x:v>
      </x:c>
      <x:c r="C32" s="12" t="n">
        <x:f>Overview!$B$4+(B32-1)*7+1</x:f>
        <x:v>46378</x:v>
      </x:c>
      <x:c r="D32" s="3" t="str">
        <x:v>Senpai</x:v>
      </x:c>
      <x:c r="E32" s="3" t="str">
        <x:v>S1</x:v>
      </x:c>
      <x:c r="F32" s="3" t="str">
        <x:v>Language clarity</x:v>
      </x:c>
      <x:c r="G32" s="3" t="str">
        <x:v>Document carousel</x:v>
      </x:c>
      <x:c r="H32" s="14" t="str">
        <x:v>Can the lesson instructions be explained in plain words?</x:v>
      </x:c>
      <x:c r="I32" s="14" t="str">
        <x:v>Show a fictional complex instruction and a clearer rewrite without claiming product language coverage.</x:v>
      </x:c>
      <x:c r="J32" s="14" t="str">
        <x:v>Before-and-after instruction card.</x:v>
      </x:c>
      <x:c r="K32" s="14" t="str">
        <x:v>Read the public overview and identify one evaluation question.</x:v>
      </x:c>
      <x:c r="L32" s="14" t="str">
        <x:v>https://www.ingendynamics.com/senpai.html</x:v>
      </x:c>
      <x:c r="M32" s="14" t="str">
        <x:v>I2; R3; R4; R6</x:v>
      </x:c>
      <x:c r="N32" s="3" t="str">
        <x:v>Draft</x:v>
      </x:c>
    </x:row>
    <x:row r="33" ht="72" customHeight="1">
      <x:c r="A33" s="9" t="str">
        <x:v>LI-10-2</x:v>
      </x:c>
      <x:c r="B33" s="9" t="n">
        <x:v>10</x:v>
      </x:c>
      <x:c r="C33" s="11" t="n">
        <x:f>Overview!$B$4+(B33-1)*7+3</x:f>
        <x:v>46380</x:v>
      </x:c>
      <x:c r="D33" s="9" t="str">
        <x:v>Aido Rover</x:v>
      </x:c>
      <x:c r="E33" s="9" t="str">
        <x:v>R2</x:v>
      </x:c>
      <x:c r="F33" s="9" t="str">
        <x:v>Missed event</x:v>
      </x:c>
      <x:c r="G33" s="9" t="str">
        <x:v>Thought leadership text</x:v>
      </x:c>
      <x:c r="H33" s="13" t="str">
        <x:v>Who reviews an incident the system did not flag?</x:v>
      </x:c>
      <x:c r="I33" s="13" t="str">
        <x:v>Use a fictional missed-event tabletop and name the buyer-side review decision.</x:v>
      </x:c>
      <x:c r="J33" s="13" t="str">
        <x:v>Incident review timeline.</x:v>
      </x:c>
      <x:c r="K33" s="13" t="str">
        <x:v>Read the public overview and identify one evaluation question.</x:v>
      </x:c>
      <x:c r="L33" s="13" t="str">
        <x:v>https://www.ingendynamics.com/</x:v>
      </x:c>
      <x:c r="M33" s="13" t="str">
        <x:v>I3; R2</x:v>
      </x:c>
      <x:c r="N33" s="9" t="str">
        <x:v>Draft</x:v>
      </x:c>
    </x:row>
    <x:row r="34" ht="72" customHeight="1">
      <x:c r="A34" s="3" t="str">
        <x:v>LI-10-3</x:v>
      </x:c>
      <x:c r="B34" s="3" t="n">
        <x:v>10</x:v>
      </x:c>
      <x:c r="C34" s="12" t="n">
        <x:f>Overview!$B$4+(B34-1)*7+5</x:f>
        <x:v>46382</x:v>
      </x:c>
      <x:c r="D34" s="3" t="str">
        <x:v>Aido Humanoid</x:v>
      </x:c>
      <x:c r="E34" s="3" t="str">
        <x:v>H2</x:v>
      </x:c>
      <x:c r="F34" s="3" t="str">
        <x:v>Target versus result</x:v>
      </x:c>
      <x:c r="G34" s="3" t="str">
        <x:v>Single image</x:v>
      </x:c>
      <x:c r="H34" s="14" t="str">
        <x:v>A specification target is not a test result</x:v>
      </x:c>
      <x:c r="I34" s="14" t="str">
        <x:v>Explain the distinction without repeating performance specifications as established facts.</x:v>
      </x:c>
      <x:c r="J34" s="14" t="str">
        <x:v>Target / protocol / result fields left unfilled.</x:v>
      </x:c>
      <x:c r="K34" s="14" t="str">
        <x:v>Read the public overview and identify one evaluation question.</x:v>
      </x:c>
      <x:c r="L34" s="14" t="str">
        <x:v>https://www.ingendynamics.com/</x:v>
      </x:c>
      <x:c r="M34" s="14" t="str">
        <x:v>I3</x:v>
      </x:c>
      <x:c r="N34" s="3" t="str">
        <x:v>Draft</x:v>
      </x:c>
    </x:row>
    <x:row r="35" ht="72" customHeight="1">
      <x:c r="A35" s="9" t="str">
        <x:v>LI-11-1</x:v>
      </x:c>
      <x:c r="B35" s="9" t="n">
        <x:v>11</x:v>
      </x:c>
      <x:c r="C35" s="11" t="n">
        <x:f>Overview!$B$4+(B35-1)*7+1</x:f>
        <x:v>46385</x:v>
      </x:c>
      <x:c r="D35" s="9" t="str">
        <x:v>Senpai</x:v>
      </x:c>
      <x:c r="E35" s="9" t="str">
        <x:v>S2</x:v>
      </x:c>
      <x:c r="F35" s="9" t="str">
        <x:v>Human relationships</x:v>
      </x:c>
      <x:c r="G35" s="9" t="str">
        <x:v>Document carousel</x:v>
      </x:c>
      <x:c r="H35" s="13" t="str">
        <x:v>Keep classroom relationships in the picture</x:v>
      </x:c>
      <x:c r="I35" s="13" t="str">
        <x:v>Ask where the teacher and classmates remain involved in a proposed activity.</x:v>
      </x:c>
      <x:c r="J35" s="13" t="str">
        <x:v>Classroom role map.</x:v>
      </x:c>
      <x:c r="K35" s="13" t="str">
        <x:v>Read the public overview and identify one evaluation question.</x:v>
      </x:c>
      <x:c r="L35" s="13" t="str">
        <x:v>https://www.ingendynamics.com/senpai.html</x:v>
      </x:c>
      <x:c r="M35" s="13" t="str">
        <x:v>I2; R3; R4; R6</x:v>
      </x:c>
      <x:c r="N35" s="9" t="str">
        <x:v>Draft</x:v>
      </x:c>
    </x:row>
    <x:row r="36" ht="72" customHeight="1">
      <x:c r="A36" s="3" t="str">
        <x:v>LI-11-2</x:v>
      </x:c>
      <x:c r="B36" s="3" t="n">
        <x:v>11</x:v>
      </x:c>
      <x:c r="C36" s="12" t="n">
        <x:f>Overview!$B$4+(B36-1)*7+3</x:f>
        <x:v>46387</x:v>
      </x:c>
      <x:c r="D36" s="3" t="str">
        <x:v>Aido Rover</x:v>
      </x:c>
      <x:c r="E36" s="3" t="str">
        <x:v>R3</x:v>
      </x:c>
      <x:c r="F36" s="3" t="str">
        <x:v>Go or revise decision</x:v>
      </x:c>
      <x:c r="G36" s="3" t="str">
        <x:v>Thought leadership text</x:v>
      </x:c>
      <x:c r="H36" s="14" t="str">
        <x:v>What would justify the next evaluation step?</x:v>
      </x:c>
      <x:c r="I36" s="14" t="str">
        <x:v>Define scope, evidence and unresolved issue fields for a technical discussion.</x:v>
      </x:c>
      <x:c r="J36" s="14" t="str">
        <x:v>Proceed / revise / pause worksheet.</x:v>
      </x:c>
      <x:c r="K36" s="14" t="str">
        <x:v>Read the public overview and identify one evaluation question.</x:v>
      </x:c>
      <x:c r="L36" s="14" t="str">
        <x:v>https://www.ingendynamics.com/</x:v>
      </x:c>
      <x:c r="M36" s="14" t="str">
        <x:v>I3; R2</x:v>
      </x:c>
      <x:c r="N36" s="3" t="str">
        <x:v>Draft</x:v>
      </x:c>
    </x:row>
    <x:row r="37" ht="72" customHeight="1">
      <x:c r="A37" s="9" t="str">
        <x:v>LI-11-3</x:v>
      </x:c>
      <x:c r="B37" s="9" t="n">
        <x:v>11</x:v>
      </x:c>
      <x:c r="C37" s="11" t="n">
        <x:f>Overview!$B$4+(B37-1)*7+5</x:f>
        <x:v>46389</x:v>
      </x:c>
      <x:c r="D37" s="9" t="str">
        <x:v>Sentinel Prime AI</x:v>
      </x:c>
      <x:c r="E37" s="9" t="str">
        <x:v>T2</x:v>
      </x:c>
      <x:c r="F37" s="9" t="str">
        <x:v>Performance context</x:v>
      </x:c>
      <x:c r="G37" s="9" t="str">
        <x:v>Single image</x:v>
      </x:c>
      <x:c r="H37" s="13" t="str">
        <x:v>A headline number needs a method and a denominator</x:v>
      </x:c>
      <x:c r="I37" s="13" t="str">
        <x:v>Show blank fields for outcome definition, conditions and measurement period; avoid repeating unverified company figures.</x:v>
      </x:c>
      <x:c r="J37" s="13" t="str">
        <x:v>Measurement evidence template.</x:v>
      </x:c>
      <x:c r="K37" s="13" t="str">
        <x:v>Read the public overview and identify one evaluation question.</x:v>
      </x:c>
      <x:c r="L37" s="13" t="str">
        <x:v>https://www.ingendynamics.com/</x:v>
      </x:c>
      <x:c r="M37" s="13" t="str">
        <x:v>I3; R2</x:v>
      </x:c>
      <x:c r="N37" s="9" t="str">
        <x:v>Draft</x:v>
      </x:c>
    </x:row>
    <x:row r="38" ht="72" customHeight="1">
      <x:c r="A38" s="3" t="str">
        <x:v>LI-12-1</x:v>
      </x:c>
      <x:c r="B38" s="3" t="n">
        <x:v>12</x:v>
      </x:c>
      <x:c r="C38" s="12" t="n">
        <x:f>Overview!$B$4+(B38-1)*7+1</x:f>
        <x:v>46392</x:v>
      </x:c>
      <x:c r="D38" s="3" t="str">
        <x:v>Senpai</x:v>
      </x:c>
      <x:c r="E38" s="3" t="str">
        <x:v>S3</x:v>
      </x:c>
      <x:c r="F38" s="3" t="str">
        <x:v>Evidence request</x:v>
      </x:c>
      <x:c r="G38" s="3" t="str">
        <x:v>Document carousel</x:v>
      </x:c>
      <x:c r="H38" s="14" t="str">
        <x:v>What would your school need to see next?</x:v>
      </x:c>
      <x:c r="I38" s="14" t="str">
        <x:v>Invite a concrete evidence request from educators; avoid collecting student details.</x:v>
      </x:c>
      <x:c r="J38" s="14" t="str">
        <x:v>Blank evidence-request card.</x:v>
      </x:c>
      <x:c r="K38" s="14" t="str">
        <x:v>Read the public overview and identify one evaluation question.</x:v>
      </x:c>
      <x:c r="L38" s="14" t="str">
        <x:v>https://www.ingendynamics.com/senpai.html</x:v>
      </x:c>
      <x:c r="M38" s="14" t="str">
        <x:v>I2; R3; R4; R6</x:v>
      </x:c>
      <x:c r="N38" s="3" t="str">
        <x:v>Draft</x:v>
      </x:c>
    </x:row>
    <x:row r="39" ht="72" customHeight="1">
      <x:c r="A39" s="9" t="str">
        <x:v>LI-12-2</x:v>
      </x:c>
      <x:c r="B39" s="9" t="n">
        <x:v>12</x:v>
      </x:c>
      <x:c r="C39" s="11" t="n">
        <x:f>Overview!$B$4+(B39-1)*7+3</x:f>
        <x:v>46394</x:v>
      </x:c>
      <x:c r="D39" s="9" t="str">
        <x:v>Sentinel Prime AI</x:v>
      </x:c>
      <x:c r="E39" s="9" t="str">
        <x:v>T3</x:v>
      </x:c>
      <x:c r="F39" s="9" t="str">
        <x:v>Audit responsibility</x:v>
      </x:c>
      <x:c r="G39" s="9" t="str">
        <x:v>Thought leadership text</x:v>
      </x:c>
      <x:c r="H39" s="13" t="str">
        <x:v>Who can explain what happened after an event?</x:v>
      </x:c>
      <x:c r="I39" s="13" t="str">
        <x:v>Ask about records, access and human review; do not claim audit certification.</x:v>
      </x:c>
      <x:c r="J39" s="13" t="str">
        <x:v>Incident record checklist.</x:v>
      </x:c>
      <x:c r="K39" s="13" t="str">
        <x:v>Read the public overview and identify one evaluation question.</x:v>
      </x:c>
      <x:c r="L39" s="13" t="str">
        <x:v>https://www.ingendynamics.com/</x:v>
      </x:c>
      <x:c r="M39" s="13" t="str">
        <x:v>I3; R2</x:v>
      </x:c>
      <x:c r="N39" s="9" t="str">
        <x:v>Draft</x:v>
      </x:c>
    </x:row>
    <x:row r="40" ht="72" customHeight="1">
      <x:c r="A40" s="3" t="str">
        <x:v>LI-12-3</x:v>
      </x:c>
      <x:c r="B40" s="3" t="n">
        <x:v>12</x:v>
      </x:c>
      <x:c r="C40" s="12" t="n">
        <x:f>Overview!$B$4+(B40-1)*7+5</x:f>
        <x:v>46396</x:v>
      </x:c>
      <x:c r="D40" s="3" t="str">
        <x:v>Aido Humanoid</x:v>
      </x:c>
      <x:c r="E40" s="3" t="str">
        <x:v>H3</x:v>
      </x:c>
      <x:c r="F40" s="3" t="str">
        <x:v>Research follow-up</x:v>
      </x:c>
      <x:c r="G40" s="3" t="str">
        <x:v>Single image</x:v>
      </x:c>
      <x:c r="H40" s="14" t="str">
        <x:v>Turn broad interest into a specific technical question</x:v>
      </x:c>
      <x:c r="I40" s="14" t="str">
        <x:v>Ask readers to name a method or evaluation issue, not predict commercialization dates.</x:v>
      </x:c>
      <x:c r="J40" s="14" t="str">
        <x:v>Question-to-evaluation worksheet.</x:v>
      </x:c>
      <x:c r="K40" s="14" t="str">
        <x:v>Read the public overview and identify one evaluation question.</x:v>
      </x:c>
      <x:c r="L40" s="14" t="str">
        <x:v>https://www.ingendynamics.com/</x:v>
      </x:c>
      <x:c r="M40" s="14" t="str">
        <x:v>I3</x:v>
      </x:c>
      <x:c r="N40" s="3" t="str">
        <x:v>Draft</x:v>
      </x:c>
    </x:row>
  </x:sheetData>
  <x:mergeCells>
    <x:mergeCell ref="A1:N1"/>
    <x:mergeCell ref="A2:N2"/>
  </x:mergeCells>
  <x:conditionalFormatting sqref="N5:N40">
    <x:cfRule type="containsText" dxfId="0" priority="1" operator="containsText" text="Hold"/>
  </x:conditionalFormatting>
  <x:dataValidations count="1">
    <x:dataValidation type="list" sqref="N5:N40">
      <x:formula1>"Draft,In review,Approved,Hold,Scheduled,Published"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b36938f7eb46ea"/>
  </x:tableParts>
</x:worksheet>
</file>

<file path=xl/worksheets/sheet3.xml><?xml version="1.0" encoding="utf-8"?>
<x:worksheet xmlns:x="http://schemas.openxmlformats.org/spreadsheetml/2006/main">
  <x:sheetPr>
    <x:tabColor rgb="FF46756F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7" hidden="0" customWidth="1"/>
    <x:col min="3" max="3" width="14" hidden="0" customWidth="1"/>
    <x:col min="4" max="4" width="23" hidden="0" customWidth="1"/>
    <x:col min="5" max="5" width="8" hidden="0" customWidth="1"/>
    <x:col min="6" max="6" width="26" hidden="0" customWidth="1"/>
    <x:col min="7" max="7" width="23" hidden="0" customWidth="1"/>
    <x:col min="8" max="8" width="38" hidden="0" customWidth="1"/>
    <x:col min="9" max="9" width="58" hidden="0" customWidth="1"/>
    <x:col min="10" max="10" width="45" hidden="0" customWidth="1"/>
    <x:col min="11" max="11" width="48" hidden="0" customWidth="1"/>
    <x:col min="12" max="12" width="47" hidden="0" customWidth="1"/>
    <x:col min="13" max="13" width="18" hidden="0" customWidth="1"/>
    <x:col min="14" max="14" width="16" hidden="0" customWidth="1"/>
  </x:cols>
  <x:sheetData>
    <x:row r="1" ht="34" customHeight="1">
      <x:c r="A1" s="4" t="str">
        <x:v>12-week Instagram content plan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3" t="str">
        <x:v>All rows are proposals. Keep source and product-status labels with each asset. Dates follow Overview B4; review before release.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8" customHeight="1">
      <x:c r="A4" s="8" t="str">
        <x:v>Post ID</x:v>
      </x:c>
      <x:c r="B4" s="8" t="str">
        <x:v>Week</x:v>
      </x:c>
      <x:c r="C4" s="8" t="str">
        <x:v>Planned date</x:v>
      </x:c>
      <x:c r="D4" s="8" t="str">
        <x:v>Product</x:v>
      </x:c>
      <x:c r="E4" s="8" t="str">
        <x:v>Pillar</x:v>
      </x:c>
      <x:c r="F4" s="8" t="str">
        <x:v>Topic</x:v>
      </x:c>
      <x:c r="G4" s="8" t="str">
        <x:v>Format</x:v>
      </x:c>
      <x:c r="H4" s="8" t="str">
        <x:v>Headline or hook</x:v>
      </x:c>
      <x:c r="I4" s="8" t="str">
        <x:v>Brief copy direction</x:v>
      </x:c>
      <x:c r="J4" s="8" t="str">
        <x:v>Visual concept</x:v>
      </x:c>
      <x:c r="K4" s="8" t="str">
        <x:v>Call to action</x:v>
      </x:c>
      <x:c r="L4" s="8" t="str">
        <x:v>Destination or prompt</x:v>
      </x:c>
      <x:c r="M4" s="8" t="str">
        <x:v>Source IDs</x:v>
      </x:c>
      <x:c r="N4" s="8" t="str">
        <x:v>Status</x:v>
      </x:c>
    </x:row>
    <x:row r="5" ht="72" customHeight="1">
      <x:c r="A5" s="9" t="str">
        <x:v>IG-01-1</x:v>
      </x:c>
      <x:c r="B5" s="9" t="n">
        <x:v>1</x:v>
      </x:c>
      <x:c r="C5" s="11" t="n">
        <x:f>Overview!$B$4+(B5-1)*7+0</x:f>
        <x:v>46314</x:v>
      </x:c>
      <x:c r="D5" s="9" t="str">
        <x:v>Fari</x:v>
      </x:c>
      <x:c r="E5" s="9" t="str">
        <x:v>F1</x:v>
      </x:c>
      <x:c r="F5" s="9" t="str">
        <x:v>Start with the person</x:v>
      </x:c>
      <x:c r="G5" s="9" t="str">
        <x:v>Carousel</x:v>
      </x:c>
      <x:c r="H5" s="13" t="str">
        <x:v>Which kind of help would you welcome?</x:v>
      </x:c>
      <x:c r="I5" s="13" t="str">
        <x:v>Offer three hypothetical everyday tasks; invite the older adult to choose or reject them.</x:v>
      </x:c>
      <x:c r="J5" s="13" t="str">
        <x:v>Three task cards and a visible “none of these” option.</x:v>
      </x:c>
      <x:c r="K5" s="13" t="str">
        <x:v>Save this checklist.</x:v>
      </x:c>
      <x:c r="L5" s="13" t="str">
        <x:v>Native save / discussion prompt</x:v>
      </x:c>
      <x:c r="M5" s="13" t="str">
        <x:v>R1; I1</x:v>
      </x:c>
      <x:c r="N5" s="9" t="str">
        <x:v>Draft</x:v>
      </x:c>
    </x:row>
    <x:row r="6" ht="72" customHeight="1">
      <x:c r="A6" s="3" t="str">
        <x:v>IG-01-2</x:v>
      </x:c>
      <x:c r="B6" s="3" t="n">
        <x:v>1</x:v>
      </x:c>
      <x:c r="C6" s="12" t="n">
        <x:f>Overview!$B$4+(B6-1)*7+2</x:f>
        <x:v>46316</x:v>
      </x:c>
      <x:c r="D6" s="3" t="str">
        <x:v>Fari</x:v>
      </x:c>
      <x:c r="E6" s="3" t="str">
        <x:v>F1</x:v>
      </x:c>
      <x:c r="F6" s="3" t="str">
        <x:v>Start with the person</x:v>
      </x:c>
      <x:c r="G6" s="3" t="str">
        <x:v>Single image</x:v>
      </x:c>
      <x:c r="H6" s="14" t="str">
        <x:v>A useful first question: what would you rather do yourself?</x:v>
      </x:c>
      <x:c r="I6" s="14" t="str">
        <x:v>Normalize declining assistance; do not infer needs from age.</x:v>
      </x:c>
      <x:c r="J6" s="14" t="str">
        <x:v>A simple two-column “help welcome / I prefer to do it” card.</x:v>
      </x:c>
      <x:c r="K6" s="14" t="str">
        <x:v>Discuss this question privately with family.</x:v>
      </x:c>
      <x:c r="L6" s="14" t="str">
        <x:v>Native save / discussion prompt</x:v>
      </x:c>
      <x:c r="M6" s="14" t="str">
        <x:v>R1; I1</x:v>
      </x:c>
      <x:c r="N6" s="3" t="str">
        <x:v>Draft</x:v>
      </x:c>
    </x:row>
    <x:row r="7" ht="72" customHeight="1">
      <x:c r="A7" s="9" t="str">
        <x:v>IG-01-3</x:v>
      </x:c>
      <x:c r="B7" s="9" t="n">
        <x:v>1</x:v>
      </x:c>
      <x:c r="C7" s="11" t="n">
        <x:f>Overview!$B$4+(B7-1)*7+4</x:f>
        <x:v>46318</x:v>
      </x:c>
      <x:c r="D7" s="9" t="str">
        <x:v>Fari</x:v>
      </x:c>
      <x:c r="E7" s="9" t="str">
        <x:v>F1</x:v>
      </x:c>
      <x:c r="F7" s="9" t="str">
        <x:v>Start with the person</x:v>
      </x:c>
      <x:c r="G7" s="9" t="str">
        <x:v>Text storyboard</x:v>
      </x:c>
      <x:c r="H7" s="13" t="str">
        <x:v>Before choosing a feature, choose a situation</x:v>
      </x:c>
      <x:c r="I7" s="13" t="str">
        <x:v>Use an explicitly fictional morning routine to ask where help is wanted; label Fari as in development.</x:v>
      </x:c>
      <x:c r="J7" s="13" t="str">
        <x:v>Three-panel paper storyboard; no simulated product interface.</x:v>
      </x:c>
      <x:c r="K7" s="13" t="str">
        <x:v>Read the current Fari status page via the profile link, if configured.</x:v>
      </x:c>
      <x:c r="L7" s="13" t="str">
        <x:v>https://www.ingendynamics.com/fari.html</x:v>
      </x:c>
      <x:c r="M7" s="13" t="str">
        <x:v>R1; I1</x:v>
      </x:c>
      <x:c r="N7" s="9" t="str">
        <x:v>Draft</x:v>
      </x:c>
    </x:row>
    <x:row r="8" ht="72" customHeight="1">
      <x:c r="A8" s="3" t="str">
        <x:v>IG-02-1</x:v>
      </x:c>
      <x:c r="B8" s="3" t="n">
        <x:v>2</x:v>
      </x:c>
      <x:c r="C8" s="12" t="n">
        <x:f>Overview!$B$4+(B8-1)*7+0</x:f>
        <x:v>46321</x:v>
      </x:c>
      <x:c r="D8" s="3" t="str">
        <x:v>Fari</x:v>
      </x:c>
      <x:c r="E8" s="3" t="str">
        <x:v>F2</x:v>
      </x:c>
      <x:c r="F8" s="3" t="str">
        <x:v>Family decision roles</x:v>
      </x:c>
      <x:c r="G8" s="3" t="str">
        <x:v>Carousel</x:v>
      </x:c>
      <x:c r="H8" s="14" t="str">
        <x:v>The buyer and the user may want different things</x:v>
      </x:c>
      <x:c r="I8" s="14" t="str">
        <x:v>Separate caregiver reassurance from the parent’s own preferences.</x:v>
      </x:c>
      <x:c r="J8" s="14" t="str">
        <x:v>Two speech cards labelled parent and adult child.</x:v>
      </x:c>
      <x:c r="K8" s="14" t="str">
        <x:v>Save this checklist.</x:v>
      </x:c>
      <x:c r="L8" s="14" t="str">
        <x:v>Native save / discussion prompt</x:v>
      </x:c>
      <x:c r="M8" s="14" t="str">
        <x:v>I1</x:v>
      </x:c>
      <x:c r="N8" s="3" t="str">
        <x:v>Draft</x:v>
      </x:c>
    </x:row>
    <x:row r="9" ht="72" customHeight="1">
      <x:c r="A9" s="9" t="str">
        <x:v>IG-02-2</x:v>
      </x:c>
      <x:c r="B9" s="9" t="n">
        <x:v>2</x:v>
      </x:c>
      <x:c r="C9" s="11" t="n">
        <x:f>Overview!$B$4+(B9-1)*7+2</x:f>
        <x:v>46323</x:v>
      </x:c>
      <x:c r="D9" s="9" t="str">
        <x:v>Fari</x:v>
      </x:c>
      <x:c r="E9" s="9" t="str">
        <x:v>F2</x:v>
      </x:c>
      <x:c r="F9" s="9" t="str">
        <x:v>Family decision roles</x:v>
      </x:c>
      <x:c r="G9" s="9" t="str">
        <x:v>Single image</x:v>
      </x:c>
      <x:c r="H9" s="13" t="str">
        <x:v>Ask separately, then talk together</x:v>
      </x:c>
      <x:c r="I9" s="13" t="str">
        <x:v>Offer one question for each person: what would help, and what would feel intrusive?</x:v>
      </x:c>
      <x:c r="J9" s="13" t="str">
        <x:v>Two-column question card with blank answer space.</x:v>
      </x:c>
      <x:c r="K9" s="13" t="str">
        <x:v>Discuss this question privately with family.</x:v>
      </x:c>
      <x:c r="L9" s="13" t="str">
        <x:v>Native save / discussion prompt</x:v>
      </x:c>
      <x:c r="M9" s="13" t="str">
        <x:v>I1</x:v>
      </x:c>
      <x:c r="N9" s="9" t="str">
        <x:v>Draft</x:v>
      </x:c>
    </x:row>
    <x:row r="10" ht="72" customHeight="1">
      <x:c r="A10" s="3" t="str">
        <x:v>IG-02-3</x:v>
      </x:c>
      <x:c r="B10" s="3" t="n">
        <x:v>2</x:v>
      </x:c>
      <x:c r="C10" s="12" t="n">
        <x:f>Overview!$B$4+(B10-1)*7+4</x:f>
        <x:v>46325</x:v>
      </x:c>
      <x:c r="D10" s="3" t="str">
        <x:v>Fari</x:v>
      </x:c>
      <x:c r="E10" s="3" t="str">
        <x:v>F2</x:v>
      </x:c>
      <x:c r="F10" s="3" t="str">
        <x:v>Family decision roles</x:v>
      </x:c>
      <x:c r="G10" s="3" t="str">
        <x:v>Text storyboard</x:v>
      </x:c>
      <x:c r="H10" s="14" t="str">
        <x:v>A conversation starter, not a decision for your parent</x:v>
      </x:c>
      <x:c r="I10" s="14" t="str">
        <x:v>Create a short fictional dialogue that leaves room for disagreement.</x:v>
      </x:c>
      <x:c r="J10" s="14" t="str">
        <x:v>Three dialogue bubbles ending in an open question.</x:v>
      </x:c>
      <x:c r="K10" s="14" t="str">
        <x:v>Read the current Fari status page via the profile link, if configured.</x:v>
      </x:c>
      <x:c r="L10" s="14" t="str">
        <x:v>https://www.ingendynamics.com/fari.html</x:v>
      </x:c>
      <x:c r="M10" s="14" t="str">
        <x:v>I1</x:v>
      </x:c>
      <x:c r="N10" s="3" t="str">
        <x:v>Draft</x:v>
      </x:c>
    </x:row>
    <x:row r="11" ht="72" customHeight="1">
      <x:c r="A11" s="9" t="str">
        <x:v>IG-03-1</x:v>
      </x:c>
      <x:c r="B11" s="9" t="n">
        <x:v>3</x:v>
      </x:c>
      <x:c r="C11" s="11" t="n">
        <x:f>Overview!$B$4+(B11-1)*7+0</x:f>
        <x:v>46328</x:v>
      </x:c>
      <x:c r="D11" s="9" t="str">
        <x:v>Fari</x:v>
      </x:c>
      <x:c r="E11" s="9" t="str">
        <x:v>F3</x:v>
      </x:c>
      <x:c r="F11" s="9" t="str">
        <x:v>Development versus evidence</x:v>
      </x:c>
      <x:c r="G11" s="9" t="str">
        <x:v>Carousel</x:v>
      </x:c>
      <x:c r="H11" s="13" t="str">
        <x:v>What does “in development” tell you?</x:v>
      </x:c>
      <x:c r="I11" s="13" t="str">
        <x:v>Explain that a planned capability is not an available or validated function.</x:v>
      </x:c>
      <x:c r="J11" s="13" t="str">
        <x:v>Two cards: intended capability and evidence needed.</x:v>
      </x:c>
      <x:c r="K11" s="13" t="str">
        <x:v>Save this checklist.</x:v>
      </x:c>
      <x:c r="L11" s="13" t="str">
        <x:v>Native save / discussion prompt</x:v>
      </x:c>
      <x:c r="M11" s="13" t="str">
        <x:v>I1</x:v>
      </x:c>
      <x:c r="N11" s="9" t="str">
        <x:v>Draft</x:v>
      </x:c>
    </x:row>
    <x:row r="12" ht="72" customHeight="1">
      <x:c r="A12" s="3" t="str">
        <x:v>IG-03-2</x:v>
      </x:c>
      <x:c r="B12" s="3" t="n">
        <x:v>3</x:v>
      </x:c>
      <x:c r="C12" s="12" t="n">
        <x:f>Overview!$B$4+(B12-1)*7+2</x:f>
        <x:v>46330</x:v>
      </x:c>
      <x:c r="D12" s="3" t="str">
        <x:v>Fari</x:v>
      </x:c>
      <x:c r="E12" s="3" t="str">
        <x:v>F3</x:v>
      </x:c>
      <x:c r="F12" s="3" t="str">
        <x:v>Development versus evidence</x:v>
      </x:c>
      <x:c r="G12" s="3" t="str">
        <x:v>Single image</x:v>
      </x:c>
      <x:c r="H12" s="14" t="str">
        <x:v>A clear product question beats a long feature list</x:v>
      </x:c>
      <x:c r="I12" s="14" t="str">
        <x:v>Ask what evidence supports the specific task a reader cares about.</x:v>
      </x:c>
      <x:c r="J12" s="14" t="str">
        <x:v>One large question with a source-date footer.</x:v>
      </x:c>
      <x:c r="K12" s="14" t="str">
        <x:v>Discuss this question privately with family.</x:v>
      </x:c>
      <x:c r="L12" s="14" t="str">
        <x:v>Native save / discussion prompt</x:v>
      </x:c>
      <x:c r="M12" s="14" t="str">
        <x:v>I1</x:v>
      </x:c>
      <x:c r="N12" s="3" t="str">
        <x:v>Draft</x:v>
      </x:c>
    </x:row>
    <x:row r="13" ht="72" customHeight="1">
      <x:c r="A13" s="9" t="str">
        <x:v>IG-03-3</x:v>
      </x:c>
      <x:c r="B13" s="9" t="n">
        <x:v>3</x:v>
      </x:c>
      <x:c r="C13" s="11" t="n">
        <x:f>Overview!$B$4+(B13-1)*7+4</x:f>
        <x:v>46332</x:v>
      </x:c>
      <x:c r="D13" s="9" t="str">
        <x:v>Fari</x:v>
      </x:c>
      <x:c r="E13" s="9" t="str">
        <x:v>F3</x:v>
      </x:c>
      <x:c r="F13" s="9" t="str">
        <x:v>Development versus evidence</x:v>
      </x:c>
      <x:c r="G13" s="9" t="str">
        <x:v>Text storyboard</x:v>
      </x:c>
      <x:c r="H13" s="13" t="str">
        <x:v>A concept illustration should say it is a concept</x:v>
      </x:c>
      <x:c r="I13" s="13" t="str">
        <x:v>Annotate a paper sketch as hypothetical; explain why labels protect understanding.</x:v>
      </x:c>
      <x:c r="J13" s="13" t="str">
        <x:v>Labelled sketch with a “concept only” caption.</x:v>
      </x:c>
      <x:c r="K13" s="13" t="str">
        <x:v>Read the current Fari status page via the profile link, if configured.</x:v>
      </x:c>
      <x:c r="L13" s="13" t="str">
        <x:v>https://www.ingendynamics.com/fari.html</x:v>
      </x:c>
      <x:c r="M13" s="13" t="str">
        <x:v>I1</x:v>
      </x:c>
      <x:c r="N13" s="9" t="str">
        <x:v>Draft</x:v>
      </x:c>
    </x:row>
    <x:row r="14" ht="72" customHeight="1">
      <x:c r="A14" s="3" t="str">
        <x:v>IG-04-1</x:v>
      </x:c>
      <x:c r="B14" s="3" t="n">
        <x:v>4</x:v>
      </x:c>
      <x:c r="C14" s="12" t="n">
        <x:f>Overview!$B$4+(B14-1)*7+0</x:f>
        <x:v>46335</x:v>
      </x:c>
      <x:c r="D14" s="3" t="str">
        <x:v>Fari</x:v>
      </x:c>
      <x:c r="E14" s="3" t="str">
        <x:v>F3</x:v>
      </x:c>
      <x:c r="F14" s="3" t="str">
        <x:v>Information sharing questions</x:v>
      </x:c>
      <x:c r="G14" s="3" t="str">
        <x:v>Carousel</x:v>
      </x:c>
      <x:c r="H14" s="14" t="str">
        <x:v>Who would see which information?</x:v>
      </x:c>
      <x:c r="I14" s="14" t="str">
        <x:v>Turn sharing into three questions: what, with whom and for what purpose; do not promise current controls.</x:v>
      </x:c>
      <x:c r="J14" s="14" t="str">
        <x:v>Three connected question boxes.</x:v>
      </x:c>
      <x:c r="K14" s="14" t="str">
        <x:v>Save this checklist.</x:v>
      </x:c>
      <x:c r="L14" s="14" t="str">
        <x:v>Native save / discussion prompt</x:v>
      </x:c>
      <x:c r="M14" s="14" t="str">
        <x:v>I1</x:v>
      </x:c>
      <x:c r="N14" s="3" t="str">
        <x:v>Draft</x:v>
      </x:c>
    </x:row>
    <x:row r="15" ht="72" customHeight="1">
      <x:c r="A15" s="9" t="str">
        <x:v>IG-04-2</x:v>
      </x:c>
      <x:c r="B15" s="9" t="n">
        <x:v>4</x:v>
      </x:c>
      <x:c r="C15" s="11" t="n">
        <x:f>Overview!$B$4+(B15-1)*7+2</x:f>
        <x:v>46337</x:v>
      </x:c>
      <x:c r="D15" s="9" t="str">
        <x:v>Fari</x:v>
      </x:c>
      <x:c r="E15" s="9" t="str">
        <x:v>F3</x:v>
      </x:c>
      <x:c r="F15" s="9" t="str">
        <x:v>Information sharing questions</x:v>
      </x:c>
      <x:c r="G15" s="9" t="str">
        <x:v>Single image</x:v>
      </x:c>
      <x:c r="H15" s="13" t="str">
        <x:v>Privacy starts with a question you can answer</x:v>
      </x:c>
      <x:c r="I15" s="13" t="str">
        <x:v>Ask readers to explain a sharing choice in their own words using a fictional example.</x:v>
      </x:c>
      <x:c r="J15" s="13" t="str">
        <x:v>Plain-language explanation card without technical jargon.</x:v>
      </x:c>
      <x:c r="K15" s="13" t="str">
        <x:v>Discuss this question privately with family.</x:v>
      </x:c>
      <x:c r="L15" s="13" t="str">
        <x:v>Native save / discussion prompt</x:v>
      </x:c>
      <x:c r="M15" s="13" t="str">
        <x:v>I1</x:v>
      </x:c>
      <x:c r="N15" s="9" t="str">
        <x:v>Draft</x:v>
      </x:c>
    </x:row>
    <x:row r="16" ht="72" customHeight="1">
      <x:c r="A16" s="3" t="str">
        <x:v>IG-04-3</x:v>
      </x:c>
      <x:c r="B16" s="3" t="n">
        <x:v>4</x:v>
      </x:c>
      <x:c r="C16" s="12" t="n">
        <x:f>Overview!$B$4+(B16-1)*7+4</x:f>
        <x:v>46339</x:v>
      </x:c>
      <x:c r="D16" s="3" t="str">
        <x:v>Fari</x:v>
      </x:c>
      <x:c r="E16" s="3" t="str">
        <x:v>F3</x:v>
      </x:c>
      <x:c r="F16" s="3" t="str">
        <x:v>Information sharing questions</x:v>
      </x:c>
      <x:c r="G16" s="3" t="str">
        <x:v>Text storyboard</x:v>
      </x:c>
      <x:c r="H16" s="14" t="str">
        <x:v>What would changing your mind look like?</x:v>
      </x:c>
      <x:c r="I16" s="14" t="str">
        <x:v>List questions to ask about withdrawing a sharing choice; mark the workflow as unverified.</x:v>
      </x:c>
      <x:c r="J16" s="14" t="str">
        <x:v>Before / change / confirmation storyboard.</x:v>
      </x:c>
      <x:c r="K16" s="14" t="str">
        <x:v>Read the current Fari status page via the profile link, if configured.</x:v>
      </x:c>
      <x:c r="L16" s="14" t="str">
        <x:v>https://www.ingendynamics.com/fari.html</x:v>
      </x:c>
      <x:c r="M16" s="14" t="str">
        <x:v>I1</x:v>
      </x:c>
      <x:c r="N16" s="3" t="str">
        <x:v>Draft</x:v>
      </x:c>
    </x:row>
    <x:row r="17" ht="72" customHeight="1">
      <x:c r="A17" s="9" t="str">
        <x:v>IG-05-1</x:v>
      </x:c>
      <x:c r="B17" s="9" t="n">
        <x:v>5</x:v>
      </x:c>
      <x:c r="C17" s="11" t="n">
        <x:f>Overview!$B$4+(B17-1)*7+0</x:f>
        <x:v>46342</x:v>
      </x:c>
      <x:c r="D17" s="9" t="str">
        <x:v>Fari</x:v>
      </x:c>
      <x:c r="E17" s="9" t="str">
        <x:v>F1</x:v>
      </x:c>
      <x:c r="F17" s="9" t="str">
        <x:v>One interaction at a time</x:v>
      </x:c>
      <x:c r="G17" s="9" t="str">
        <x:v>Carousel</x:v>
      </x:c>
      <x:c r="H17" s="13" t="str">
        <x:v>Start with one everyday moment</x:v>
      </x:c>
      <x:c r="I17" s="13" t="str">
        <x:v>Present one optional conversation concept instead of multiple product promises.</x:v>
      </x:c>
      <x:c r="J17" s="13" t="str">
        <x:v>One scene, one user request, one decision.</x:v>
      </x:c>
      <x:c r="K17" s="13" t="str">
        <x:v>Save this checklist.</x:v>
      </x:c>
      <x:c r="L17" s="13" t="str">
        <x:v>Native save / discussion prompt</x:v>
      </x:c>
      <x:c r="M17" s="13" t="str">
        <x:v>R1; I1</x:v>
      </x:c>
      <x:c r="N17" s="9" t="str">
        <x:v>Draft</x:v>
      </x:c>
    </x:row>
    <x:row r="18" ht="72" customHeight="1">
      <x:c r="A18" s="3" t="str">
        <x:v>IG-05-2</x:v>
      </x:c>
      <x:c r="B18" s="3" t="n">
        <x:v>5</x:v>
      </x:c>
      <x:c r="C18" s="12" t="n">
        <x:f>Overview!$B$4+(B18-1)*7+2</x:f>
        <x:v>46344</x:v>
      </x:c>
      <x:c r="D18" s="3" t="str">
        <x:v>Fari</x:v>
      </x:c>
      <x:c r="E18" s="3" t="str">
        <x:v>F1</x:v>
      </x:c>
      <x:c r="F18" s="3" t="str">
        <x:v>One interaction at a time</x:v>
      </x:c>
      <x:c r="G18" s="3" t="str">
        <x:v>Single image</x:v>
      </x:c>
      <x:c r="H18" s="14" t="str">
        <x:v>Would you understand what happens next?</x:v>
      </x:c>
      <x:c r="I18" s="14" t="str">
        <x:v>Ask readers to predict the next step in a clearly labelled paper concept.</x:v>
      </x:c>
      <x:c r="J18" s="14" t="str">
        <x:v>Two storyboard frames and a blank third frame.</x:v>
      </x:c>
      <x:c r="K18" s="14" t="str">
        <x:v>Discuss this question privately with family.</x:v>
      </x:c>
      <x:c r="L18" s="14" t="str">
        <x:v>Native save / discussion prompt</x:v>
      </x:c>
      <x:c r="M18" s="14" t="str">
        <x:v>R1; I1</x:v>
      </x:c>
      <x:c r="N18" s="3" t="str">
        <x:v>Draft</x:v>
      </x:c>
    </x:row>
    <x:row r="19" ht="72" customHeight="1">
      <x:c r="A19" s="9" t="str">
        <x:v>IG-05-3</x:v>
      </x:c>
      <x:c r="B19" s="9" t="n">
        <x:v>5</x:v>
      </x:c>
      <x:c r="C19" s="11" t="n">
        <x:f>Overview!$B$4+(B19-1)*7+4</x:f>
        <x:v>46346</x:v>
      </x:c>
      <x:c r="D19" s="9" t="str">
        <x:v>Fari</x:v>
      </x:c>
      <x:c r="E19" s="9" t="str">
        <x:v>F1</x:v>
      </x:c>
      <x:c r="F19" s="9" t="str">
        <x:v>One interaction at a time</x:v>
      </x:c>
      <x:c r="G19" s="9" t="str">
        <x:v>Text storyboard</x:v>
      </x:c>
      <x:c r="H19" s="13" t="str">
        <x:v>Make room for “not now”</x:v>
      </x:c>
      <x:c r="I19" s="13" t="str">
        <x:v>Write a sample opt-out interaction as a proposed design question, not a verified command.</x:v>
      </x:c>
      <x:c r="J19" s="13" t="str">
        <x:v>Three text-slide concept frames; no robot performance footage.</x:v>
      </x:c>
      <x:c r="K19" s="13" t="str">
        <x:v>Read the current Fari status page via the profile link, if configured.</x:v>
      </x:c>
      <x:c r="L19" s="13" t="str">
        <x:v>https://www.ingendynamics.com/fari.html</x:v>
      </x:c>
      <x:c r="M19" s="13" t="str">
        <x:v>R1; I1</x:v>
      </x:c>
      <x:c r="N19" s="9" t="str">
        <x:v>Draft</x:v>
      </x:c>
    </x:row>
    <x:row r="20" ht="72" customHeight="1">
      <x:c r="A20" s="3" t="str">
        <x:v>IG-06-1</x:v>
      </x:c>
      <x:c r="B20" s="3" t="n">
        <x:v>6</x:v>
      </x:c>
      <x:c r="C20" s="12" t="n">
        <x:f>Overview!$B$4+(B20-1)*7+0</x:f>
        <x:v>46349</x:v>
      </x:c>
      <x:c r="D20" s="3" t="str">
        <x:v>Fari</x:v>
      </x:c>
      <x:c r="E20" s="3" t="str">
        <x:v>F2</x:v>
      </x:c>
      <x:c r="F20" s="3" t="str">
        <x:v>A decision guide for families</x:v>
      </x:c>
      <x:c r="G20" s="3" t="str">
        <x:v>Carousel</x:v>
      </x:c>
      <x:c r="H20" s="14" t="str">
        <x:v>Four questions before the family says yes</x:v>
      </x:c>
      <x:c r="I20" s="14" t="str">
        <x:v>Cover user preference, intended task, sharing and human follow-up.</x:v>
      </x:c>
      <x:c r="J20" s="14" t="str">
        <x:v>Four-question checklist with checkboxes left empty.</x:v>
      </x:c>
      <x:c r="K20" s="14" t="str">
        <x:v>Save this checklist.</x:v>
      </x:c>
      <x:c r="L20" s="14" t="str">
        <x:v>Native save / discussion prompt</x:v>
      </x:c>
      <x:c r="M20" s="14" t="str">
        <x:v>I1</x:v>
      </x:c>
      <x:c r="N20" s="3" t="str">
        <x:v>Draft</x:v>
      </x:c>
    </x:row>
    <x:row r="21" ht="72" customHeight="1">
      <x:c r="A21" s="9" t="str">
        <x:v>IG-06-2</x:v>
      </x:c>
      <x:c r="B21" s="9" t="n">
        <x:v>6</x:v>
      </x:c>
      <x:c r="C21" s="11" t="n">
        <x:f>Overview!$B$4+(B21-1)*7+2</x:f>
        <x:v>46351</x:v>
      </x:c>
      <x:c r="D21" s="9" t="str">
        <x:v>Fari</x:v>
      </x:c>
      <x:c r="E21" s="9" t="str">
        <x:v>F2</x:v>
      </x:c>
      <x:c r="F21" s="9" t="str">
        <x:v>A decision guide for families</x:v>
      </x:c>
      <x:c r="G21" s="9" t="str">
        <x:v>Single image</x:v>
      </x:c>
      <x:c r="H21" s="13" t="str">
        <x:v>Reassurance is a need, not proof</x:v>
      </x:c>
      <x:c r="I21" s="13" t="str">
        <x:v>Distinguish a caregiver’s motivation from evidence that a product delivers reassurance.</x:v>
      </x:c>
      <x:c r="J21" s="13" t="str">
        <x:v>Need / question / evidence request cards.</x:v>
      </x:c>
      <x:c r="K21" s="13" t="str">
        <x:v>Discuss this question privately with family.</x:v>
      </x:c>
      <x:c r="L21" s="13" t="str">
        <x:v>Native save / discussion prompt</x:v>
      </x:c>
      <x:c r="M21" s="13" t="str">
        <x:v>I1</x:v>
      </x:c>
      <x:c r="N21" s="9" t="str">
        <x:v>Draft</x:v>
      </x:c>
    </x:row>
    <x:row r="22" ht="72" customHeight="1">
      <x:c r="A22" s="3" t="str">
        <x:v>IG-06-3</x:v>
      </x:c>
      <x:c r="B22" s="3" t="n">
        <x:v>6</x:v>
      </x:c>
      <x:c r="C22" s="12" t="n">
        <x:f>Overview!$B$4+(B22-1)*7+4</x:f>
        <x:v>46353</x:v>
      </x:c>
      <x:c r="D22" s="3" t="str">
        <x:v>Fari</x:v>
      </x:c>
      <x:c r="E22" s="3" t="str">
        <x:v>F2</x:v>
      </x:c>
      <x:c r="F22" s="3" t="str">
        <x:v>A decision guide for families</x:v>
      </x:c>
      <x:c r="G22" s="3" t="str">
        <x:v>Text storyboard</x:v>
      </x:c>
      <x:c r="H22" s="14" t="str">
        <x:v>Keep the family role visible</x:v>
      </x:c>
      <x:c r="I22" s="14" t="str">
        <x:v>Show a hypothetical care conversation with explicit human responsibilities; no replacement claims.</x:v>
      </x:c>
      <x:c r="J22" s="14" t="str">
        <x:v>Role map with family tasks and open product questions.</x:v>
      </x:c>
      <x:c r="K22" s="14" t="str">
        <x:v>Read the current Fari status page via the profile link, if configured.</x:v>
      </x:c>
      <x:c r="L22" s="14" t="str">
        <x:v>https://www.ingendynamics.com/fari.html</x:v>
      </x:c>
      <x:c r="M22" s="14" t="str">
        <x:v>I1</x:v>
      </x:c>
      <x:c r="N22" s="3" t="str">
        <x:v>Draft</x:v>
      </x:c>
    </x:row>
    <x:row r="23" ht="72" customHeight="1">
      <x:c r="A23" s="9" t="str">
        <x:v>IG-07-1</x:v>
      </x:c>
      <x:c r="B23" s="9" t="n">
        <x:v>7</x:v>
      </x:c>
      <x:c r="C23" s="11" t="n">
        <x:f>Overview!$B$4+(B23-1)*7+0</x:f>
        <x:v>46356</x:v>
      </x:c>
      <x:c r="D23" s="9" t="str">
        <x:v>Fari</x:v>
      </x:c>
      <x:c r="E23" s="9" t="str">
        <x:v>F3</x:v>
      </x:c>
      <x:c r="F23" s="9" t="str">
        <x:v>Reading a robotics study</x:v>
      </x:c>
      <x:c r="G23" s="9" t="str">
        <x:v>Carousel</x:v>
      </x:c>
      <x:c r="H23" s="13" t="str">
        <x:v>A study about robots is not a Fari trial</x:v>
      </x:c>
      <x:c r="I23" s="13" t="str">
        <x:v>Explain sample, task and product differences using Smarr as a limited example.</x:v>
      </x:c>
      <x:c r="J23" s="13" t="str">
        <x:v>Study question / sample / limits mini-table.</x:v>
      </x:c>
      <x:c r="K23" s="13" t="str">
        <x:v>Save this checklist.</x:v>
      </x:c>
      <x:c r="L23" s="13" t="str">
        <x:v>Native save / discussion prompt</x:v>
      </x:c>
      <x:c r="M23" s="13" t="str">
        <x:v>R1; I1</x:v>
      </x:c>
      <x:c r="N23" s="9" t="str">
        <x:v>Draft</x:v>
      </x:c>
    </x:row>
    <x:row r="24" ht="72" customHeight="1">
      <x:c r="A24" s="3" t="str">
        <x:v>IG-07-2</x:v>
      </x:c>
      <x:c r="B24" s="3" t="n">
        <x:v>7</x:v>
      </x:c>
      <x:c r="C24" s="12" t="n">
        <x:f>Overview!$B$4+(B24-1)*7+2</x:f>
        <x:v>46358</x:v>
      </x:c>
      <x:c r="D24" s="3" t="str">
        <x:v>Fari</x:v>
      </x:c>
      <x:c r="E24" s="3" t="str">
        <x:v>F3</x:v>
      </x:c>
      <x:c r="F24" s="3" t="str">
        <x:v>Reading a robotics study</x:v>
      </x:c>
      <x:c r="G24" s="3" t="str">
        <x:v>Single image</x:v>
      </x:c>
      <x:c r="H24" s="14" t="str">
        <x:v>What was actually measured?</x:v>
      </x:c>
      <x:c r="I24" s="14" t="str">
        <x:v>Distinguish preference reports from purchase behavior or health outcomes.</x:v>
      </x:c>
      <x:c r="J24" s="14" t="str">
        <x:v>Three measurement labels with short definitions.</x:v>
      </x:c>
      <x:c r="K24" s="14" t="str">
        <x:v>Discuss this question privately with family.</x:v>
      </x:c>
      <x:c r="L24" s="14" t="str">
        <x:v>Native save / discussion prompt</x:v>
      </x:c>
      <x:c r="M24" s="14" t="str">
        <x:v>R1; I1</x:v>
      </x:c>
      <x:c r="N24" s="3" t="str">
        <x:v>Draft</x:v>
      </x:c>
    </x:row>
    <x:row r="25" ht="72" customHeight="1">
      <x:c r="A25" s="9" t="str">
        <x:v>IG-07-3</x:v>
      </x:c>
      <x:c r="B25" s="9" t="n">
        <x:v>7</x:v>
      </x:c>
      <x:c r="C25" s="11" t="n">
        <x:f>Overview!$B$4+(B25-1)*7+4</x:f>
        <x:v>46360</x:v>
      </x:c>
      <x:c r="D25" s="9" t="str">
        <x:v>Fari</x:v>
      </x:c>
      <x:c r="E25" s="9" t="str">
        <x:v>F3</x:v>
      </x:c>
      <x:c r="F25" s="9" t="str">
        <x:v>Reading a robotics study</x:v>
      </x:c>
      <x:c r="G25" s="9" t="str">
        <x:v>Text storyboard</x:v>
      </x:c>
      <x:c r="H25" s="13" t="str">
        <x:v>One finding, one careful next question</x:v>
      </x:c>
      <x:c r="I25" s="13" t="str">
        <x:v>Use task-specific preferences to propose a question about acceptable assistance.</x:v>
      </x:c>
      <x:c r="J25" s="13" t="str">
        <x:v>Finding-to-question arrow with a limitation note.</x:v>
      </x:c>
      <x:c r="K25" s="13" t="str">
        <x:v>Read the current Fari status page via the profile link, if configured.</x:v>
      </x:c>
      <x:c r="L25" s="13" t="str">
        <x:v>https://www.ingendynamics.com/fari.html</x:v>
      </x:c>
      <x:c r="M25" s="13" t="str">
        <x:v>R1; I1</x:v>
      </x:c>
      <x:c r="N25" s="9" t="str">
        <x:v>Draft</x:v>
      </x:c>
    </x:row>
    <x:row r="26" ht="72" customHeight="1">
      <x:c r="A26" s="3" t="str">
        <x:v>IG-08-1</x:v>
      </x:c>
      <x:c r="B26" s="3" t="n">
        <x:v>8</x:v>
      </x:c>
      <x:c r="C26" s="12" t="n">
        <x:f>Overview!$B$4+(B26-1)*7+0</x:f>
        <x:v>46363</x:v>
      </x:c>
      <x:c r="D26" s="3" t="str">
        <x:v>Fari</x:v>
      </x:c>
      <x:c r="E26" s="3" t="str">
        <x:v>F1</x:v>
      </x:c>
      <x:c r="F26" s="3" t="str">
        <x:v>Everyday routines and choice</x:v>
      </x:c>
      <x:c r="G26" s="3" t="str">
        <x:v>Carousel</x:v>
      </x:c>
      <x:c r="H26" s="14" t="str">
        <x:v>Different routines need different questions</x:v>
      </x:c>
      <x:c r="I26" s="14" t="str">
        <x:v>Compare two fictional routines without claiming demographic patterns.</x:v>
      </x:c>
      <x:c r="J26" s="14" t="str">
        <x:v>Two contrasting daily schedules labelled fictional.</x:v>
      </x:c>
      <x:c r="K26" s="14" t="str">
        <x:v>Save this checklist.</x:v>
      </x:c>
      <x:c r="L26" s="14" t="str">
        <x:v>Native save / discussion prompt</x:v>
      </x:c>
      <x:c r="M26" s="14" t="str">
        <x:v>R1; I1</x:v>
      </x:c>
      <x:c r="N26" s="3" t="str">
        <x:v>Draft</x:v>
      </x:c>
    </x:row>
    <x:row r="27" ht="72" customHeight="1">
      <x:c r="A27" s="9" t="str">
        <x:v>IG-08-2</x:v>
      </x:c>
      <x:c r="B27" s="9" t="n">
        <x:v>8</x:v>
      </x:c>
      <x:c r="C27" s="11" t="n">
        <x:f>Overview!$B$4+(B27-1)*7+2</x:f>
        <x:v>46365</x:v>
      </x:c>
      <x:c r="D27" s="9" t="str">
        <x:v>Fari</x:v>
      </x:c>
      <x:c r="E27" s="9" t="str">
        <x:v>F1</x:v>
      </x:c>
      <x:c r="F27" s="9" t="str">
        <x:v>Everyday routines and choice</x:v>
      </x:c>
      <x:c r="G27" s="9" t="str">
        <x:v>Single image</x:v>
      </x:c>
      <x:c r="H27" s="13" t="str">
        <x:v>Familiar does not always mean welcome</x:v>
      </x:c>
      <x:c r="I27" s="13" t="str">
        <x:v>Ask whether voice, text or family explanation would help someone understand a concept.</x:v>
      </x:c>
      <x:c r="J27" s="13" t="str">
        <x:v>Three explanation formats shown as choices.</x:v>
      </x:c>
      <x:c r="K27" s="13" t="str">
        <x:v>Discuss this question privately with family.</x:v>
      </x:c>
      <x:c r="L27" s="13" t="str">
        <x:v>Native save / discussion prompt</x:v>
      </x:c>
      <x:c r="M27" s="13" t="str">
        <x:v>R1; I1</x:v>
      </x:c>
      <x:c r="N27" s="9" t="str">
        <x:v>Draft</x:v>
      </x:c>
    </x:row>
    <x:row r="28" ht="72" customHeight="1">
      <x:c r="A28" s="3" t="str">
        <x:v>IG-08-3</x:v>
      </x:c>
      <x:c r="B28" s="3" t="n">
        <x:v>8</x:v>
      </x:c>
      <x:c r="C28" s="12" t="n">
        <x:f>Overview!$B$4+(B28-1)*7+4</x:f>
        <x:v>46367</x:v>
      </x:c>
      <x:c r="D28" s="3" t="str">
        <x:v>Fari</x:v>
      </x:c>
      <x:c r="E28" s="3" t="str">
        <x:v>F1</x:v>
      </x:c>
      <x:c r="F28" s="3" t="str">
        <x:v>Everyday routines and choice</x:v>
      </x:c>
      <x:c r="G28" s="3" t="str">
        <x:v>Text storyboard</x:v>
      </x:c>
      <x:c r="H28" s="14" t="str">
        <x:v>Change the scenario before adding another feature</x:v>
      </x:c>
      <x:c r="I28" s="14" t="str">
        <x:v>Show how the same proposed interaction could be useful in one situation and unwanted in another.</x:v>
      </x:c>
      <x:c r="J28" s="14" t="str">
        <x:v>Paired scenario cards with open-ended outcomes.</x:v>
      </x:c>
      <x:c r="K28" s="14" t="str">
        <x:v>Read the current Fari status page via the profile link, if configured.</x:v>
      </x:c>
      <x:c r="L28" s="14" t="str">
        <x:v>https://www.ingendynamics.com/fari.html</x:v>
      </x:c>
      <x:c r="M28" s="14" t="str">
        <x:v>R1; I1</x:v>
      </x:c>
      <x:c r="N28" s="3" t="str">
        <x:v>Draft</x:v>
      </x:c>
    </x:row>
    <x:row r="29" ht="72" customHeight="1">
      <x:c r="A29" s="9" t="str">
        <x:v>IG-09-1</x:v>
      </x:c>
      <x:c r="B29" s="9" t="n">
        <x:v>9</x:v>
      </x:c>
      <x:c r="C29" s="11" t="n">
        <x:f>Overview!$B$4+(B29-1)*7+0</x:f>
        <x:v>46370</x:v>
      </x:c>
      <x:c r="D29" s="9" t="str">
        <x:v>Fari</x:v>
      </x:c>
      <x:c r="E29" s="9" t="str">
        <x:v>F2</x:v>
      </x:c>
      <x:c r="F29" s="9" t="str">
        <x:v>Space for disagreement</x:v>
      </x:c>
      <x:c r="G29" s="9" t="str">
        <x:v>Carousel</x:v>
      </x:c>
      <x:c r="H29" s="13" t="str">
        <x:v>What if one person says no?</x:v>
      </x:c>
      <x:c r="I29" s="13" t="str">
        <x:v>Offer a respectful conversation checklist; do not assume who should win the decision.</x:v>
      </x:c>
      <x:c r="J29" s="13" t="str">
        <x:v>Pause / clarify / revisit checklist.</x:v>
      </x:c>
      <x:c r="K29" s="13" t="str">
        <x:v>Save this checklist.</x:v>
      </x:c>
      <x:c r="L29" s="13" t="str">
        <x:v>Native save / discussion prompt</x:v>
      </x:c>
      <x:c r="M29" s="13" t="str">
        <x:v>I1</x:v>
      </x:c>
      <x:c r="N29" s="9" t="str">
        <x:v>Draft</x:v>
      </x:c>
    </x:row>
    <x:row r="30" ht="72" customHeight="1">
      <x:c r="A30" s="3" t="str">
        <x:v>IG-09-2</x:v>
      </x:c>
      <x:c r="B30" s="3" t="n">
        <x:v>9</x:v>
      </x:c>
      <x:c r="C30" s="12" t="n">
        <x:f>Overview!$B$4+(B30-1)*7+2</x:f>
        <x:v>46372</x:v>
      </x:c>
      <x:c r="D30" s="3" t="str">
        <x:v>Fari</x:v>
      </x:c>
      <x:c r="E30" s="3" t="str">
        <x:v>F2</x:v>
      </x:c>
      <x:c r="F30" s="3" t="str">
        <x:v>Space for disagreement</x:v>
      </x:c>
      <x:c r="G30" s="3" t="str">
        <x:v>Single image</x:v>
      </x:c>
      <x:c r="H30" s="14" t="str">
        <x:v>An honest question is better than a guilt-based pitch</x:v>
      </x:c>
      <x:c r="I30" s="14" t="str">
        <x:v>Reject messages suggesting a purchase proves family care.</x:v>
      </x:c>
      <x:c r="J30" s="14" t="str">
        <x:v>Respectful question beside a crossed-out guilt phrase.</x:v>
      </x:c>
      <x:c r="K30" s="14" t="str">
        <x:v>Discuss this question privately with family.</x:v>
      </x:c>
      <x:c r="L30" s="14" t="str">
        <x:v>Native save / discussion prompt</x:v>
      </x:c>
      <x:c r="M30" s="14" t="str">
        <x:v>I1</x:v>
      </x:c>
      <x:c r="N30" s="3" t="str">
        <x:v>Draft</x:v>
      </x:c>
    </x:row>
    <x:row r="31" ht="72" customHeight="1">
      <x:c r="A31" s="9" t="str">
        <x:v>IG-09-3</x:v>
      </x:c>
      <x:c r="B31" s="9" t="n">
        <x:v>9</x:v>
      </x:c>
      <x:c r="C31" s="11" t="n">
        <x:f>Overview!$B$4+(B31-1)*7+4</x:f>
        <x:v>46374</x:v>
      </x:c>
      <x:c r="D31" s="9" t="str">
        <x:v>Fari</x:v>
      </x:c>
      <x:c r="E31" s="9" t="str">
        <x:v>F2</x:v>
      </x:c>
      <x:c r="F31" s="9" t="str">
        <x:v>Space for disagreement</x:v>
      </x:c>
      <x:c r="G31" s="9" t="str">
        <x:v>Text storyboard</x:v>
      </x:c>
      <x:c r="H31" s="13" t="str">
        <x:v>Plan a conversation, not a surprise purchase</x:v>
      </x:c>
      <x:c r="I31" s="13" t="str">
        <x:v>Use a fictional family-gift scenario to discuss choice; clearly state current development status.</x:v>
      </x:c>
      <x:c r="J31" s="13" t="str">
        <x:v>Gift idea / conversation / open questions sequence.</x:v>
      </x:c>
      <x:c r="K31" s="13" t="str">
        <x:v>Read the current Fari status page via the profile link, if configured.</x:v>
      </x:c>
      <x:c r="L31" s="13" t="str">
        <x:v>https://www.ingendynamics.com/fari.html</x:v>
      </x:c>
      <x:c r="M31" s="13" t="str">
        <x:v>I1</x:v>
      </x:c>
      <x:c r="N31" s="9" t="str">
        <x:v>Draft</x:v>
      </x:c>
    </x:row>
    <x:row r="32" ht="72" customHeight="1">
      <x:c r="A32" s="3" t="str">
        <x:v>IG-10-1</x:v>
      </x:c>
      <x:c r="B32" s="3" t="n">
        <x:v>10</x:v>
      </x:c>
      <x:c r="C32" s="12" t="n">
        <x:f>Overview!$B$4+(B32-1)*7+0</x:f>
        <x:v>46377</x:v>
      </x:c>
      <x:c r="D32" s="3" t="str">
        <x:v>Fari</x:v>
      </x:c>
      <x:c r="E32" s="3" t="str">
        <x:v>F3</x:v>
      </x:c>
      <x:c r="F32" s="3" t="str">
        <x:v>Read the limits before the promise</x:v>
      </x:c>
      <x:c r="G32" s="3" t="str">
        <x:v>Carousel</x:v>
      </x:c>
      <x:c r="H32" s="14" t="str">
        <x:v>Which part of this claim needs evidence?</x:v>
      </x:c>
      <x:c r="I32" s="14" t="str">
        <x:v>Annotate a fictional exaggerated claim; rewrite it as a bounded question.</x:v>
      </x:c>
      <x:c r="J32" s="14" t="str">
        <x:v>Claim annotation in contrasting colors.</x:v>
      </x:c>
      <x:c r="K32" s="14" t="str">
        <x:v>Save this checklist.</x:v>
      </x:c>
      <x:c r="L32" s="14" t="str">
        <x:v>Native save / discussion prompt</x:v>
      </x:c>
      <x:c r="M32" s="14" t="str">
        <x:v>I1; R2</x:v>
      </x:c>
      <x:c r="N32" s="3" t="str">
        <x:v>Draft</x:v>
      </x:c>
    </x:row>
    <x:row r="33" ht="72" customHeight="1">
      <x:c r="A33" s="9" t="str">
        <x:v>IG-10-2</x:v>
      </x:c>
      <x:c r="B33" s="9" t="n">
        <x:v>10</x:v>
      </x:c>
      <x:c r="C33" s="11" t="n">
        <x:f>Overview!$B$4+(B33-1)*7+2</x:f>
        <x:v>46379</x:v>
      </x:c>
      <x:c r="D33" s="9" t="str">
        <x:v>Fari</x:v>
      </x:c>
      <x:c r="E33" s="9" t="str">
        <x:v>F3</x:v>
      </x:c>
      <x:c r="F33" s="9" t="str">
        <x:v>Read the limits before the promise</x:v>
      </x:c>
      <x:c r="G33" s="9" t="str">
        <x:v>Single image</x:v>
      </x:c>
      <x:c r="H33" s="13" t="str">
        <x:v>A human role should be easy to find</x:v>
      </x:c>
      <x:c r="I33" s="13" t="str">
        <x:v>Ask who follows up when a proposed system cannot help; do not promise emergency performance.</x:v>
      </x:c>
      <x:c r="J33" s="13" t="str">
        <x:v>Human-role callout beside a concept scenario.</x:v>
      </x:c>
      <x:c r="K33" s="13" t="str">
        <x:v>Discuss this question privately with family.</x:v>
      </x:c>
      <x:c r="L33" s="13" t="str">
        <x:v>Native save / discussion prompt</x:v>
      </x:c>
      <x:c r="M33" s="13" t="str">
        <x:v>I1; R2</x:v>
      </x:c>
      <x:c r="N33" s="9" t="str">
        <x:v>Draft</x:v>
      </x:c>
    </x:row>
    <x:row r="34" ht="72" customHeight="1">
      <x:c r="A34" s="3" t="str">
        <x:v>IG-10-3</x:v>
      </x:c>
      <x:c r="B34" s="3" t="n">
        <x:v>10</x:v>
      </x:c>
      <x:c r="C34" s="12" t="n">
        <x:f>Overview!$B$4+(B34-1)*7+4</x:f>
        <x:v>46381</x:v>
      </x:c>
      <x:c r="D34" s="3" t="str">
        <x:v>Fari</x:v>
      </x:c>
      <x:c r="E34" s="3" t="str">
        <x:v>F3</x:v>
      </x:c>
      <x:c r="F34" s="3" t="str">
        <x:v>Read the limits before the promise</x:v>
      </x:c>
      <x:c r="G34" s="3" t="str">
        <x:v>Text storyboard</x:v>
      </x:c>
      <x:c r="H34" s="14" t="str">
        <x:v>Keep the status label with the image</x:v>
      </x:c>
      <x:c r="I34" s="14" t="str">
        <x:v>Explain why each concept graphic carries its own development label.</x:v>
      </x:c>
      <x:c r="J34" s="14" t="str">
        <x:v>Standalone concept card with readable status footer.</x:v>
      </x:c>
      <x:c r="K34" s="14" t="str">
        <x:v>Read the current Fari status page via the profile link, if configured.</x:v>
      </x:c>
      <x:c r="L34" s="14" t="str">
        <x:v>https://www.ingendynamics.com/fari.html</x:v>
      </x:c>
      <x:c r="M34" s="14" t="str">
        <x:v>I1; R2</x:v>
      </x:c>
      <x:c r="N34" s="3" t="str">
        <x:v>Draft</x:v>
      </x:c>
    </x:row>
    <x:row r="35" ht="72" customHeight="1">
      <x:c r="A35" s="9" t="str">
        <x:v>IG-11-1</x:v>
      </x:c>
      <x:c r="B35" s="9" t="n">
        <x:v>11</x:v>
      </x:c>
      <x:c r="C35" s="11" t="n">
        <x:f>Overview!$B$4+(B35-1)*7+0</x:f>
        <x:v>46384</x:v>
      </x:c>
      <x:c r="D35" s="9" t="str">
        <x:v>Fari</x:v>
      </x:c>
      <x:c r="E35" s="9" t="str">
        <x:v>F2</x:v>
      </x:c>
      <x:c r="F35" s="9" t="str">
        <x:v>Getting ready to ask better questions</x:v>
      </x:c>
      <x:c r="G35" s="9" t="str">
        <x:v>Carousel</x:v>
      </x:c>
      <x:c r="H35" s="13" t="str">
        <x:v>Bring your priorities to the conversation</x:v>
      </x:c>
      <x:c r="I35" s="13" t="str">
        <x:v>Offer a blank family worksheet with tasks, boundaries and questions, without collecting sensitive details.</x:v>
      </x:c>
      <x:c r="J35" s="13" t="str">
        <x:v>Printable-style blank worksheet.</x:v>
      </x:c>
      <x:c r="K35" s="13" t="str">
        <x:v>Save this checklist.</x:v>
      </x:c>
      <x:c r="L35" s="13" t="str">
        <x:v>Native save / discussion prompt</x:v>
      </x:c>
      <x:c r="M35" s="13" t="str">
        <x:v>I1</x:v>
      </x:c>
      <x:c r="N35" s="9" t="str">
        <x:v>Draft</x:v>
      </x:c>
    </x:row>
    <x:row r="36" ht="72" customHeight="1">
      <x:c r="A36" s="3" t="str">
        <x:v>IG-11-2</x:v>
      </x:c>
      <x:c r="B36" s="3" t="n">
        <x:v>11</x:v>
      </x:c>
      <x:c r="C36" s="12" t="n">
        <x:f>Overview!$B$4+(B36-1)*7+2</x:f>
        <x:v>46386</x:v>
      </x:c>
      <x:c r="D36" s="3" t="str">
        <x:v>Fari</x:v>
      </x:c>
      <x:c r="E36" s="3" t="str">
        <x:v>F2</x:v>
      </x:c>
      <x:c r="F36" s="3" t="str">
        <x:v>Getting ready to ask better questions</x:v>
      </x:c>
      <x:c r="G36" s="3" t="str">
        <x:v>Single image</x:v>
      </x:c>
      <x:c r="H36" s="14" t="str">
        <x:v>What would you need to know before trying?</x:v>
      </x:c>
      <x:c r="I36" s="14" t="str">
        <x:v>Ask about a single unresolved issue; avoid implying an open pilot or available trial.</x:v>
      </x:c>
      <x:c r="J36" s="14" t="str">
        <x:v>One prompt and three possible question categories.</x:v>
      </x:c>
      <x:c r="K36" s="14" t="str">
        <x:v>Discuss this question privately with family.</x:v>
      </x:c>
      <x:c r="L36" s="14" t="str">
        <x:v>Native save / discussion prompt</x:v>
      </x:c>
      <x:c r="M36" s="14" t="str">
        <x:v>I1</x:v>
      </x:c>
      <x:c r="N36" s="3" t="str">
        <x:v>Draft</x:v>
      </x:c>
    </x:row>
    <x:row r="37" ht="72" customHeight="1">
      <x:c r="A37" s="9" t="str">
        <x:v>IG-11-3</x:v>
      </x:c>
      <x:c r="B37" s="9" t="n">
        <x:v>11</x:v>
      </x:c>
      <x:c r="C37" s="11" t="n">
        <x:f>Overview!$B$4+(B37-1)*7+4</x:f>
        <x:v>46388</x:v>
      </x:c>
      <x:c r="D37" s="9" t="str">
        <x:v>Fari</x:v>
      </x:c>
      <x:c r="E37" s="9" t="str">
        <x:v>F2</x:v>
      </x:c>
      <x:c r="F37" s="9" t="str">
        <x:v>Getting ready to ask better questions</x:v>
      </x:c>
      <x:c r="G37" s="9" t="str">
        <x:v>Text storyboard</x:v>
      </x:c>
      <x:c r="H37" s="13" t="str">
        <x:v>A family checklist can end with “wait”</x:v>
      </x:c>
      <x:c r="I37" s="13" t="str">
        <x:v>Normalize postponing a decision until evidence and product readiness are clearer.</x:v>
      </x:c>
      <x:c r="J37" s="13" t="str">
        <x:v>Explore / ask / wait decision cards.</x:v>
      </x:c>
      <x:c r="K37" s="13" t="str">
        <x:v>Read the current Fari status page via the profile link, if configured.</x:v>
      </x:c>
      <x:c r="L37" s="13" t="str">
        <x:v>https://www.ingendynamics.com/fari.html</x:v>
      </x:c>
      <x:c r="M37" s="13" t="str">
        <x:v>I1</x:v>
      </x:c>
      <x:c r="N37" s="9" t="str">
        <x:v>Draft</x:v>
      </x:c>
    </x:row>
    <x:row r="38" ht="72" customHeight="1">
      <x:c r="A38" s="3" t="str">
        <x:v>IG-12-1</x:v>
      </x:c>
      <x:c r="B38" s="3" t="n">
        <x:v>12</x:v>
      </x:c>
      <x:c r="C38" s="12" t="n">
        <x:f>Overview!$B$4+(B38-1)*7+0</x:f>
        <x:v>46391</x:v>
      </x:c>
      <x:c r="D38" s="3" t="str">
        <x:v>Fari</x:v>
      </x:c>
      <x:c r="E38" s="3" t="str">
        <x:v>F3</x:v>
      </x:c>
      <x:c r="F38" s="3" t="str">
        <x:v>Review what remains uncertain</x:v>
      </x:c>
      <x:c r="G38" s="3" t="str">
        <x:v>Carousel</x:v>
      </x:c>
      <x:c r="H38" s="14" t="str">
        <x:v>Three questions worth keeping open</x:v>
      </x:c>
      <x:c r="I38" s="14" t="str">
        <x:v>Recap acceptable help, sharing and evidence; do not imply audience responses were collected.</x:v>
      </x:c>
      <x:c r="J38" s="14" t="str">
        <x:v>Three-question recap carousel.</x:v>
      </x:c>
      <x:c r="K38" s="14" t="str">
        <x:v>Save this checklist.</x:v>
      </x:c>
      <x:c r="L38" s="14" t="str">
        <x:v>Native save / discussion prompt</x:v>
      </x:c>
      <x:c r="M38" s="14" t="str">
        <x:v>I1; R1</x:v>
      </x:c>
      <x:c r="N38" s="3" t="str">
        <x:v>Draft</x:v>
      </x:c>
    </x:row>
    <x:row r="39" ht="72" customHeight="1">
      <x:c r="A39" s="9" t="str">
        <x:v>IG-12-2</x:v>
      </x:c>
      <x:c r="B39" s="9" t="n">
        <x:v>12</x:v>
      </x:c>
      <x:c r="C39" s="11" t="n">
        <x:f>Overview!$B$4+(B39-1)*7+2</x:f>
        <x:v>46393</x:v>
      </x:c>
      <x:c r="D39" s="9" t="str">
        <x:v>Fari</x:v>
      </x:c>
      <x:c r="E39" s="9" t="str">
        <x:v>F3</x:v>
      </x:c>
      <x:c r="F39" s="9" t="str">
        <x:v>Review what remains uncertain</x:v>
      </x:c>
      <x:c r="G39" s="9" t="str">
        <x:v>Single image</x:v>
      </x:c>
      <x:c r="H39" s="13" t="str">
        <x:v>What should the next explanation make clearer?</x:v>
      </x:c>
      <x:c r="I39" s="13" t="str">
        <x:v>Invite topic suggestions without presenting them as representative research.</x:v>
      </x:c>
      <x:c r="J39" s="13" t="str">
        <x:v>Open question card with topic examples.</x:v>
      </x:c>
      <x:c r="K39" s="13" t="str">
        <x:v>Discuss this question privately with family.</x:v>
      </x:c>
      <x:c r="L39" s="13" t="str">
        <x:v>Native save / discussion prompt</x:v>
      </x:c>
      <x:c r="M39" s="13" t="str">
        <x:v>I1; R1</x:v>
      </x:c>
      <x:c r="N39" s="9" t="str">
        <x:v>Draft</x:v>
      </x:c>
    </x:row>
    <x:row r="40" ht="72" customHeight="1">
      <x:c r="A40" s="3" t="str">
        <x:v>IG-12-3</x:v>
      </x:c>
      <x:c r="B40" s="3" t="n">
        <x:v>12</x:v>
      </x:c>
      <x:c r="C40" s="12" t="n">
        <x:f>Overview!$B$4+(B40-1)*7+4</x:f>
        <x:v>46395</x:v>
      </x:c>
      <x:c r="D40" s="3" t="str">
        <x:v>Fari</x:v>
      </x:c>
      <x:c r="E40" s="3" t="str">
        <x:v>F3</x:v>
      </x:c>
      <x:c r="F40" s="3" t="str">
        <x:v>Review what remains uncertain</x:v>
      </x:c>
      <x:c r="G40" s="3" t="str">
        <x:v>Text storyboard</x:v>
      </x:c>
      <x:c r="H40" s="14" t="str">
        <x:v>Understanding comes before a confident decision</x:v>
      </x:c>
      <x:c r="I40" s="14" t="str">
        <x:v>Summarize the proposed decision guide; retain development status and point to the current source.</x:v>
      </x:c>
      <x:c r="J40" s="14" t="str">
        <x:v>Choice / role / evidence summary with source link.</x:v>
      </x:c>
      <x:c r="K40" s="14" t="str">
        <x:v>Read the current Fari status page via the profile link, if configured.</x:v>
      </x:c>
      <x:c r="L40" s="14" t="str">
        <x:v>https://www.ingendynamics.com/fari.html</x:v>
      </x:c>
      <x:c r="M40" s="14" t="str">
        <x:v>I1; R1</x:v>
      </x:c>
      <x:c r="N40" s="3" t="str">
        <x:v>Draft</x:v>
      </x:c>
    </x:row>
  </x:sheetData>
  <x:mergeCells>
    <x:mergeCell ref="A1:N1"/>
    <x:mergeCell ref="A2:N2"/>
  </x:mergeCells>
  <x:conditionalFormatting sqref="N5:N40">
    <x:cfRule type="containsText" dxfId="1" priority="1" operator="containsText" text="Hold"/>
  </x:conditionalFormatting>
  <x:dataValidations count="1">
    <x:dataValidation type="list" sqref="N5:N40">
      <x:formula1>"Draft,In review,Approved,Hold,Scheduled,Published"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7a341f4bb84d0c"/>
  </x:tableParts>
</x:worksheet>
</file>

<file path=xl/worksheets/sheet4.xml><?xml version="1.0" encoding="utf-8"?>
<x:worksheet xmlns:x="http://schemas.openxmlformats.org/spreadsheetml/2006/main">
  <x:sheetPr>
    <x:tabColor rgb="FFB45353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7" hidden="0" customWidth="1"/>
    <x:col min="3" max="3" width="14" hidden="0" customWidth="1"/>
    <x:col min="4" max="4" width="23" hidden="0" customWidth="1"/>
    <x:col min="5" max="5" width="8" hidden="0" customWidth="1"/>
    <x:col min="6" max="6" width="26" hidden="0" customWidth="1"/>
    <x:col min="7" max="7" width="23" hidden="0" customWidth="1"/>
    <x:col min="8" max="8" width="38" hidden="0" customWidth="1"/>
    <x:col min="9" max="9" width="58" hidden="0" customWidth="1"/>
    <x:col min="10" max="10" width="45" hidden="0" customWidth="1"/>
    <x:col min="11" max="11" width="48" hidden="0" customWidth="1"/>
    <x:col min="12" max="12" width="47" hidden="0" customWidth="1"/>
    <x:col min="13" max="13" width="18" hidden="0" customWidth="1"/>
    <x:col min="14" max="14" width="16" hidden="0" customWidth="1"/>
  </x:cols>
  <x:sheetData>
    <x:row r="1" ht="34" customHeight="1">
      <x:c r="A1" s="15" t="str">
        <x:v>小红书 12 周内容排期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</x:row>
    <x:row r="2" ht="30" customHeight="1">
      <x:c r="A2" s="16" t="str">
        <x:v>受众：美国华语成年人及家庭照护者。全部为拟议内容；Fari 仍在开发中。发布日期跟随 Overview 的 B4，发布前需核对。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</x:row>
    <x:row r="4" ht="38" customHeight="1">
      <x:c r="A4" s="17" t="str">
        <x:v>内容编号</x:v>
      </x:c>
      <x:c r="B4" s="17" t="str">
        <x:v>周次</x:v>
      </x:c>
      <x:c r="C4" s="17" t="str">
        <x:v>计划日期</x:v>
      </x:c>
      <x:c r="D4" s="17" t="str">
        <x:v>产品</x:v>
      </x:c>
      <x:c r="E4" s="17" t="str">
        <x:v>主线</x:v>
      </x:c>
      <x:c r="F4" s="17" t="str">
        <x:v>主题</x:v>
      </x:c>
      <x:c r="G4" s="17" t="str">
        <x:v>形式</x:v>
      </x:c>
      <x:c r="H4" s="17" t="str">
        <x:v>标题或开头</x:v>
      </x:c>
      <x:c r="I4" s="17" t="str">
        <x:v>文案方向</x:v>
      </x:c>
      <x:c r="J4" s="17" t="str">
        <x:v>视觉构想</x:v>
      </x:c>
      <x:c r="K4" s="17" t="str">
        <x:v>行动提示</x:v>
      </x:c>
      <x:c r="L4" s="17" t="str">
        <x:v>来源链接或站内行动</x:v>
      </x:c>
      <x:c r="M4" s="17" t="str">
        <x:v>来源编号</x:v>
      </x:c>
      <x:c r="N4" s="17" t="str">
        <x:v>状态</x:v>
      </x:c>
    </x:row>
    <x:row r="5" ht="72" customHeight="1">
      <x:c r="A5" s="18" t="str">
        <x:v>RB-01-1</x:v>
      </x:c>
      <x:c r="B5" s="18" t="n">
        <x:v>1</x:v>
      </x:c>
      <x:c r="C5" s="19" t="n">
        <x:f>Overview!$B$4+(B5-1)*7+1</x:f>
        <x:v>46315</x:v>
      </x:c>
      <x:c r="D5" s="18" t="str">
        <x:v>Fari</x:v>
      </x:c>
      <x:c r="E5" s="18" t="str">
        <x:v>F1</x:v>
      </x:c>
      <x:c r="F5" s="18" t="str">
        <x:v>先从使用者的想法开始</x:v>
      </x:c>
      <x:c r="G5" s="18" t="str">
        <x:v>图文清单</x:v>
      </x:c>
      <x:c r="H5" s="20" t="str">
        <x:v>你希望机器人帮你做哪件小事？</x:v>
      </x:c>
      <x:c r="I5" s="20" t="str">
        <x:v>列出三个假设的日常场景，请长辈选择，也可以都不选。</x:v>
      </x:c>
      <x:c r="J5" s="20" t="str">
        <x:v>三张任务卡，保留“都不需要”的选项。</x:v>
      </x:c>
      <x:c r="K5" s="20" t="str">
        <x:v>收藏，留作家庭讨论提纲。</x:v>
      </x:c>
      <x:c r="L5" s="20" t="str">
        <x:v>站内收藏或私下讨论</x:v>
      </x:c>
      <x:c r="M5" s="20" t="str">
        <x:v>R1; I1</x:v>
      </x:c>
      <x:c r="N5" s="18" t="str">
        <x:v>Draft</x:v>
      </x:c>
    </x:row>
    <x:row r="6" ht="72" customHeight="1">
      <x:c r="A6" s="16" t="str">
        <x:v>RB-01-2</x:v>
      </x:c>
      <x:c r="B6" s="16" t="n">
        <x:v>1</x:v>
      </x:c>
      <x:c r="C6" s="21" t="n">
        <x:f>Overview!$B$4+(B6-1)*7+3</x:f>
        <x:v>46317</x:v>
      </x:c>
      <x:c r="D6" s="16" t="str">
        <x:v>Fari</x:v>
      </x:c>
      <x:c r="E6" s="16" t="str">
        <x:v>F1</x:v>
      </x:c>
      <x:c r="F6" s="16" t="str">
        <x:v>先从使用者的想法开始</x:v>
      </x:c>
      <x:c r="G6" s="16" t="str">
        <x:v>单图问答</x:v>
      </x:c>
      <x:c r="H6" s="22" t="str">
        <x:v>哪些事情，你更愿意自己做？</x:v>
      </x:c>
      <x:c r="I6" s="22" t="str">
        <x:v>把拒绝帮助写成正常选择，不根据年龄推断能力。</x:v>
      </x:c>
      <x:c r="J6" s="22" t="str">
        <x:v>“希望有人帮忙／想自己做”两栏卡片。</x:v>
      </x:c>
      <x:c r="K6" s="22" t="str">
        <x:v>和家人私下聊聊这个问题，不必公开个人健康信息。</x:v>
      </x:c>
      <x:c r="L6" s="22" t="str">
        <x:v>站内收藏或私下讨论</x:v>
      </x:c>
      <x:c r="M6" s="22" t="str">
        <x:v>R1; I1</x:v>
      </x:c>
      <x:c r="N6" s="16" t="str">
        <x:v>Draft</x:v>
      </x:c>
    </x:row>
    <x:row r="7" ht="72" customHeight="1">
      <x:c r="A7" s="18" t="str">
        <x:v>RB-01-3</x:v>
      </x:c>
      <x:c r="B7" s="18" t="n">
        <x:v>1</x:v>
      </x:c>
      <x:c r="C7" s="19" t="n">
        <x:f>Overview!$B$4+(B7-1)*7+5</x:f>
        <x:v>46319</x:v>
      </x:c>
      <x:c r="D7" s="18" t="str">
        <x:v>Fari</x:v>
      </x:c>
      <x:c r="E7" s="18" t="str">
        <x:v>F1</x:v>
      </x:c>
      <x:c r="F7" s="18" t="str">
        <x:v>先从使用者的想法开始</x:v>
      </x:c>
      <x:c r="G7" s="18" t="str">
        <x:v>情景图文</x:v>
      </x:c>
      <x:c r="H7" s="20" t="str">
        <x:v>先说清楚场景，再讨论功能</x:v>
      </x:c>
      <x:c r="I7" s="20" t="str">
        <x:v>用明确标注的假设晨间场景讨论需求，并注明 Fari 仍在开发中。</x:v>
      </x:c>
      <x:c r="J7" s="20" t="str">
        <x:v>三格纸面故事板，不伪装成真实产品界面。</x:v>
      </x:c>
      <x:c r="K7" s="20" t="str">
        <x:v>查看当前官方产品说明；平台不支持外链时保留来源名称和日期。</x:v>
      </x:c>
      <x:c r="L7" s="20" t="str">
        <x:v>https://www.ingendynamics.com/fari.html</x:v>
      </x:c>
      <x:c r="M7" s="20" t="str">
        <x:v>R1; I1</x:v>
      </x:c>
      <x:c r="N7" s="18" t="str">
        <x:v>Draft</x:v>
      </x:c>
    </x:row>
    <x:row r="8" ht="72" customHeight="1">
      <x:c r="A8" s="16" t="str">
        <x:v>RB-02-1</x:v>
      </x:c>
      <x:c r="B8" s="16" t="n">
        <x:v>2</x:v>
      </x:c>
      <x:c r="C8" s="21" t="n">
        <x:f>Overview!$B$4+(B8-1)*7+1</x:f>
        <x:v>46322</x:v>
      </x:c>
      <x:c r="D8" s="16" t="str">
        <x:v>Fari</x:v>
      </x:c>
      <x:c r="E8" s="16" t="str">
        <x:v>F2</x:v>
      </x:c>
      <x:c r="F8" s="16" t="str">
        <x:v>一家人如何一起决定</x:v>
      </x:c>
      <x:c r="G8" s="16" t="str">
        <x:v>图文清单</x:v>
      </x:c>
      <x:c r="H8" s="22" t="str">
        <x:v>出钱的人和使用的人，想法可能不同</x:v>
      </x:c>
      <x:c r="I8" s="22" t="str">
        <x:v>区分子女想获得的安心和父母本人愿意接受的帮助。</x:v>
      </x:c>
      <x:c r="J8" s="22" t="str">
        <x:v>父母与成年子女的双对话框。</x:v>
      </x:c>
      <x:c r="K8" s="22" t="str">
        <x:v>收藏，留作家庭讨论提纲。</x:v>
      </x:c>
      <x:c r="L8" s="22" t="str">
        <x:v>站内收藏或私下讨论</x:v>
      </x:c>
      <x:c r="M8" s="22" t="str">
        <x:v>I1</x:v>
      </x:c>
      <x:c r="N8" s="16" t="str">
        <x:v>Draft</x:v>
      </x:c>
    </x:row>
    <x:row r="9" ht="72" customHeight="1">
      <x:c r="A9" s="18" t="str">
        <x:v>RB-02-2</x:v>
      </x:c>
      <x:c r="B9" s="18" t="n">
        <x:v>2</x:v>
      </x:c>
      <x:c r="C9" s="19" t="n">
        <x:f>Overview!$B$4+(B9-1)*7+3</x:f>
        <x:v>46324</x:v>
      </x:c>
      <x:c r="D9" s="18" t="str">
        <x:v>Fari</x:v>
      </x:c>
      <x:c r="E9" s="18" t="str">
        <x:v>F2</x:v>
      </x:c>
      <x:c r="F9" s="18" t="str">
        <x:v>一家人如何一起决定</x:v>
      </x:c>
      <x:c r="G9" s="18" t="str">
        <x:v>单图问答</x:v>
      </x:c>
      <x:c r="H9" s="20" t="str">
        <x:v>先分别回答，再一起讨论</x:v>
      </x:c>
      <x:c r="I9" s="20" t="str">
        <x:v>给双方各一个问题：什么有帮助，什么会打扰自己？</x:v>
      </x:c>
      <x:c r="J9" s="20" t="str">
        <x:v>双栏问题卡，留出填写空间。</x:v>
      </x:c>
      <x:c r="K9" s="20" t="str">
        <x:v>和家人私下聊聊这个问题，不必公开个人健康信息。</x:v>
      </x:c>
      <x:c r="L9" s="20" t="str">
        <x:v>站内收藏或私下讨论</x:v>
      </x:c>
      <x:c r="M9" s="20" t="str">
        <x:v>I1</x:v>
      </x:c>
      <x:c r="N9" s="18" t="str">
        <x:v>Draft</x:v>
      </x:c>
    </x:row>
    <x:row r="10" ht="72" customHeight="1">
      <x:c r="A10" s="16" t="str">
        <x:v>RB-02-3</x:v>
      </x:c>
      <x:c r="B10" s="16" t="n">
        <x:v>2</x:v>
      </x:c>
      <x:c r="C10" s="21" t="n">
        <x:f>Overview!$B$4+(B10-1)*7+5</x:f>
        <x:v>46326</x:v>
      </x:c>
      <x:c r="D10" s="16" t="str">
        <x:v>Fari</x:v>
      </x:c>
      <x:c r="E10" s="16" t="str">
        <x:v>F2</x:v>
      </x:c>
      <x:c r="F10" s="16" t="str">
        <x:v>一家人如何一起决定</x:v>
      </x:c>
      <x:c r="G10" s="16" t="str">
        <x:v>情景图文</x:v>
      </x:c>
      <x:c r="H10" s="22" t="str">
        <x:v>这是一份聊天提纲，不是替父母做决定</x:v>
      </x:c>
      <x:c r="I10" s="22" t="str">
        <x:v>写一段假设对话，允许父母和子女意见不同，不使用内疚式劝说。</x:v>
      </x:c>
      <x:c r="J10" s="22" t="str">
        <x:v>三组对话气泡，以开放问题收尾。</x:v>
      </x:c>
      <x:c r="K10" s="22" t="str">
        <x:v>查看当前官方产品说明；平台不支持外链时保留来源名称和日期。</x:v>
      </x:c>
      <x:c r="L10" s="22" t="str">
        <x:v>https://www.ingendynamics.com/fari.html</x:v>
      </x:c>
      <x:c r="M10" s="22" t="str">
        <x:v>I1</x:v>
      </x:c>
      <x:c r="N10" s="16" t="str">
        <x:v>Draft</x:v>
      </x:c>
    </x:row>
    <x:row r="11" ht="72" customHeight="1">
      <x:c r="A11" s="18" t="str">
        <x:v>RB-03-1</x:v>
      </x:c>
      <x:c r="B11" s="18" t="n">
        <x:v>3</x:v>
      </x:c>
      <x:c r="C11" s="19" t="n">
        <x:f>Overview!$B$4+(B11-1)*7+1</x:f>
        <x:v>46329</x:v>
      </x:c>
      <x:c r="D11" s="18" t="str">
        <x:v>Fari</x:v>
      </x:c>
      <x:c r="E11" s="18" t="str">
        <x:v>F3</x:v>
      </x:c>
      <x:c r="F11" s="18" t="str">
        <x:v>开发目标与验证结果</x:v>
      </x:c>
      <x:c r="G11" s="18" t="str">
        <x:v>图文清单</x:v>
      </x:c>
      <x:c r="H11" s="20" t="str">
        <x:v>“开发中”到底意味着什么？</x:v>
      </x:c>
      <x:c r="I11" s="20" t="str">
        <x:v>解释计划中的能力不等于已上线或已验证的功能。</x:v>
      </x:c>
      <x:c r="J11" s="20" t="str">
        <x:v>“计划能力／需要的证据”对照卡。</x:v>
      </x:c>
      <x:c r="K11" s="20" t="str">
        <x:v>收藏，留作家庭讨论提纲。</x:v>
      </x:c>
      <x:c r="L11" s="20" t="str">
        <x:v>站内收藏或私下讨论</x:v>
      </x:c>
      <x:c r="M11" s="20" t="str">
        <x:v>I1</x:v>
      </x:c>
      <x:c r="N11" s="18" t="str">
        <x:v>Draft</x:v>
      </x:c>
    </x:row>
    <x:row r="12" ht="72" customHeight="1">
      <x:c r="A12" s="16" t="str">
        <x:v>RB-03-2</x:v>
      </x:c>
      <x:c r="B12" s="16" t="n">
        <x:v>3</x:v>
      </x:c>
      <x:c r="C12" s="21" t="n">
        <x:f>Overview!$B$4+(B12-1)*7+3</x:f>
        <x:v>46331</x:v>
      </x:c>
      <x:c r="D12" s="16" t="str">
        <x:v>Fari</x:v>
      </x:c>
      <x:c r="E12" s="16" t="str">
        <x:v>F3</x:v>
      </x:c>
      <x:c r="F12" s="16" t="str">
        <x:v>开发目标与验证结果</x:v>
      </x:c>
      <x:c r="G12" s="16" t="str">
        <x:v>单图问答</x:v>
      </x:c>
      <x:c r="H12" s="22" t="str">
        <x:v>比功能清单更有用的一个问题</x:v>
      </x:c>
      <x:c r="I12" s="22" t="str">
        <x:v>引导读者针对自己关心的场景询问证据，而不是只看参数。</x:v>
      </x:c>
      <x:c r="J12" s="22" t="str">
        <x:v>单个大问题，底部标注来源日期。</x:v>
      </x:c>
      <x:c r="K12" s="22" t="str">
        <x:v>和家人私下聊聊这个问题，不必公开个人健康信息。</x:v>
      </x:c>
      <x:c r="L12" s="22" t="str">
        <x:v>站内收藏或私下讨论</x:v>
      </x:c>
      <x:c r="M12" s="22" t="str">
        <x:v>I1</x:v>
      </x:c>
      <x:c r="N12" s="16" t="str">
        <x:v>Draft</x:v>
      </x:c>
    </x:row>
    <x:row r="13" ht="72" customHeight="1">
      <x:c r="A13" s="18" t="str">
        <x:v>RB-03-3</x:v>
      </x:c>
      <x:c r="B13" s="18" t="n">
        <x:v>3</x:v>
      </x:c>
      <x:c r="C13" s="19" t="n">
        <x:f>Overview!$B$4+(B13-1)*7+5</x:f>
        <x:v>46333</x:v>
      </x:c>
      <x:c r="D13" s="18" t="str">
        <x:v>Fari</x:v>
      </x:c>
      <x:c r="E13" s="18" t="str">
        <x:v>F3</x:v>
      </x:c>
      <x:c r="F13" s="18" t="str">
        <x:v>开发目标与验证结果</x:v>
      </x:c>
      <x:c r="G13" s="18" t="str">
        <x:v>情景图文</x:v>
      </x:c>
      <x:c r="H13" s="20" t="str">
        <x:v>概念图，就应该说清楚是概念图</x:v>
      </x:c>
      <x:c r="I13" s="20" t="str">
        <x:v>给纸面示意图加上假设标注，说明它并非真实产品测试。</x:v>
      </x:c>
      <x:c r="J13" s="20" t="str">
        <x:v>示意草图与醒目的“仅为概念说明”。</x:v>
      </x:c>
      <x:c r="K13" s="20" t="str">
        <x:v>查看当前官方产品说明；平台不支持外链时保留来源名称和日期。</x:v>
      </x:c>
      <x:c r="L13" s="20" t="str">
        <x:v>https://www.ingendynamics.com/fari.html</x:v>
      </x:c>
      <x:c r="M13" s="20" t="str">
        <x:v>I1</x:v>
      </x:c>
      <x:c r="N13" s="18" t="str">
        <x:v>Draft</x:v>
      </x:c>
    </x:row>
    <x:row r="14" ht="72" customHeight="1">
      <x:c r="A14" s="16" t="str">
        <x:v>RB-04-1</x:v>
      </x:c>
      <x:c r="B14" s="16" t="n">
        <x:v>4</x:v>
      </x:c>
      <x:c r="C14" s="21" t="n">
        <x:f>Overview!$B$4+(B14-1)*7+1</x:f>
        <x:v>46336</x:v>
      </x:c>
      <x:c r="D14" s="16" t="str">
        <x:v>Fari</x:v>
      </x:c>
      <x:c r="E14" s="16" t="str">
        <x:v>F3</x:v>
      </x:c>
      <x:c r="F14" s="16" t="str">
        <x:v>先问清楚信息如何分享</x:v>
      </x:c>
      <x:c r="G14" s="16" t="str">
        <x:v>图文清单</x:v>
      </x:c>
      <x:c r="H14" s="22" t="str">
        <x:v>哪些信息，会被谁看到？</x:v>
      </x:c>
      <x:c r="I14" s="22" t="str">
        <x:v>用分享什么、给谁、为什么三个问题展开，不保证功能已经实现。</x:v>
      </x:c>
      <x:c r="J14" s="22" t="str">
        <x:v>三个相连的问题框。</x:v>
      </x:c>
      <x:c r="K14" s="22" t="str">
        <x:v>收藏，留作家庭讨论提纲。</x:v>
      </x:c>
      <x:c r="L14" s="22" t="str">
        <x:v>站内收藏或私下讨论</x:v>
      </x:c>
      <x:c r="M14" s="22" t="str">
        <x:v>I1</x:v>
      </x:c>
      <x:c r="N14" s="16" t="str">
        <x:v>Draft</x:v>
      </x:c>
    </x:row>
    <x:row r="15" ht="72" customHeight="1">
      <x:c r="A15" s="18" t="str">
        <x:v>RB-04-2</x:v>
      </x:c>
      <x:c r="B15" s="18" t="n">
        <x:v>4</x:v>
      </x:c>
      <x:c r="C15" s="19" t="n">
        <x:f>Overview!$B$4+(B15-1)*7+3</x:f>
        <x:v>46338</x:v>
      </x:c>
      <x:c r="D15" s="18" t="str">
        <x:v>Fari</x:v>
      </x:c>
      <x:c r="E15" s="18" t="str">
        <x:v>F3</x:v>
      </x:c>
      <x:c r="F15" s="18" t="str">
        <x:v>先问清楚信息如何分享</x:v>
      </x:c>
      <x:c r="G15" s="18" t="str">
        <x:v>单图问答</x:v>
      </x:c>
      <x:c r="H15" s="20" t="str">
        <x:v>隐私说明，应该能让人看懂</x:v>
      </x:c>
      <x:c r="I15" s="20" t="str">
        <x:v>用假设例子让读者尝试用自己的话解释一项分享选择。</x:v>
      </x:c>
      <x:c r="J15" s="20" t="str">
        <x:v>不用技术术语的白话说明卡。</x:v>
      </x:c>
      <x:c r="K15" s="20" t="str">
        <x:v>和家人私下聊聊这个问题，不必公开个人健康信息。</x:v>
      </x:c>
      <x:c r="L15" s="20" t="str">
        <x:v>站内收藏或私下讨论</x:v>
      </x:c>
      <x:c r="M15" s="20" t="str">
        <x:v>I1</x:v>
      </x:c>
      <x:c r="N15" s="18" t="str">
        <x:v>Draft</x:v>
      </x:c>
    </x:row>
    <x:row r="16" ht="72" customHeight="1">
      <x:c r="A16" s="16" t="str">
        <x:v>RB-04-3</x:v>
      </x:c>
      <x:c r="B16" s="16" t="n">
        <x:v>4</x:v>
      </x:c>
      <x:c r="C16" s="21" t="n">
        <x:f>Overview!$B$4+(B16-1)*7+5</x:f>
        <x:v>46340</x:v>
      </x:c>
      <x:c r="D16" s="16" t="str">
        <x:v>Fari</x:v>
      </x:c>
      <x:c r="E16" s="16" t="str">
        <x:v>F3</x:v>
      </x:c>
      <x:c r="F16" s="16" t="str">
        <x:v>先问清楚信息如何分享</x:v>
      </x:c>
      <x:c r="G16" s="16" t="str">
        <x:v>情景图文</x:v>
      </x:c>
      <x:c r="H16" s="22" t="str">
        <x:v>如果后来改变主意了呢？</x:v>
      </x:c>
      <x:c r="I16" s="22" t="str">
        <x:v>列出撤回分享意愿时该问的问题，说明流程尚待产品确认。</x:v>
      </x:c>
      <x:c r="J16" s="22" t="str">
        <x:v>“原选择／改变／确认”的三步故事板。</x:v>
      </x:c>
      <x:c r="K16" s="22" t="str">
        <x:v>查看当前官方产品说明；平台不支持外链时保留来源名称和日期。</x:v>
      </x:c>
      <x:c r="L16" s="22" t="str">
        <x:v>https://www.ingendynamics.com/fari.html</x:v>
      </x:c>
      <x:c r="M16" s="22" t="str">
        <x:v>I1</x:v>
      </x:c>
      <x:c r="N16" s="16" t="str">
        <x:v>Draft</x:v>
      </x:c>
    </x:row>
    <x:row r="17" ht="72" customHeight="1">
      <x:c r="A17" s="18" t="str">
        <x:v>RB-05-1</x:v>
      </x:c>
      <x:c r="B17" s="18" t="n">
        <x:v>5</x:v>
      </x:c>
      <x:c r="C17" s="19" t="n">
        <x:f>Overview!$B$4+(B17-1)*7+1</x:f>
        <x:v>46343</x:v>
      </x:c>
      <x:c r="D17" s="18" t="str">
        <x:v>Fari</x:v>
      </x:c>
      <x:c r="E17" s="18" t="str">
        <x:v>F1</x:v>
      </x:c>
      <x:c r="F17" s="18" t="str">
        <x:v>一次只解释一件事</x:v>
      </x:c>
      <x:c r="G17" s="18" t="str">
        <x:v>图文清单</x:v>
      </x:c>
      <x:c r="H17" s="20" t="str">
        <x:v>从一个日常片段开始</x:v>
      </x:c>
      <x:c r="I17" s="20" t="str">
        <x:v>只介绍一个可选择的交流概念，不堆叠产品承诺。</x:v>
      </x:c>
      <x:c r="J17" s="20" t="str">
        <x:v>一个场景、一个请求、一个选择。</x:v>
      </x:c>
      <x:c r="K17" s="20" t="str">
        <x:v>收藏，留作家庭讨论提纲。</x:v>
      </x:c>
      <x:c r="L17" s="20" t="str">
        <x:v>站内收藏或私下讨论</x:v>
      </x:c>
      <x:c r="M17" s="20" t="str">
        <x:v>R1; I1</x:v>
      </x:c>
      <x:c r="N17" s="18" t="str">
        <x:v>Draft</x:v>
      </x:c>
    </x:row>
    <x:row r="18" ht="72" customHeight="1">
      <x:c r="A18" s="16" t="str">
        <x:v>RB-05-2</x:v>
      </x:c>
      <x:c r="B18" s="16" t="n">
        <x:v>5</x:v>
      </x:c>
      <x:c r="C18" s="21" t="n">
        <x:f>Overview!$B$4+(B18-1)*7+3</x:f>
        <x:v>46345</x:v>
      </x:c>
      <x:c r="D18" s="16" t="str">
        <x:v>Fari</x:v>
      </x:c>
      <x:c r="E18" s="16" t="str">
        <x:v>F1</x:v>
      </x:c>
      <x:c r="F18" s="16" t="str">
        <x:v>一次只解释一件事</x:v>
      </x:c>
      <x:c r="G18" s="16" t="str">
        <x:v>单图问答</x:v>
      </x:c>
      <x:c r="H18" s="22" t="str">
        <x:v>你能看懂下一步会发生什么吗？</x:v>
      </x:c>
      <x:c r="I18" s="22" t="str">
        <x:v>请读者判断纸面概念中的下一步，明确它不是实际产品操作。</x:v>
      </x:c>
      <x:c r="J18" s="22" t="str">
        <x:v>两格已填故事板与一格空白。</x:v>
      </x:c>
      <x:c r="K18" s="22" t="str">
        <x:v>和家人私下聊聊这个问题，不必公开个人健康信息。</x:v>
      </x:c>
      <x:c r="L18" s="22" t="str">
        <x:v>站内收藏或私下讨论</x:v>
      </x:c>
      <x:c r="M18" s="22" t="str">
        <x:v>R1; I1</x:v>
      </x:c>
      <x:c r="N18" s="16" t="str">
        <x:v>Draft</x:v>
      </x:c>
    </x:row>
    <x:row r="19" ht="72" customHeight="1">
      <x:c r="A19" s="18" t="str">
        <x:v>RB-05-3</x:v>
      </x:c>
      <x:c r="B19" s="18" t="n">
        <x:v>5</x:v>
      </x:c>
      <x:c r="C19" s="19" t="n">
        <x:f>Overview!$B$4+(B19-1)*7+5</x:f>
        <x:v>46347</x:v>
      </x:c>
      <x:c r="D19" s="18" t="str">
        <x:v>Fari</x:v>
      </x:c>
      <x:c r="E19" s="18" t="str">
        <x:v>F1</x:v>
      </x:c>
      <x:c r="F19" s="18" t="str">
        <x:v>一次只解释一件事</x:v>
      </x:c>
      <x:c r="G19" s="18" t="str">
        <x:v>情景图文</x:v>
      </x:c>
      <x:c r="H19" s="20" t="str">
        <x:v>也给“现在不需要”留个位置</x:v>
      </x:c>
      <x:c r="I19" s="20" t="str">
        <x:v>将婉拒互动写成待讨论的设计问题，不宣称指令已经可用。</x:v>
      </x:c>
      <x:c r="J19" s="20" t="str">
        <x:v>三张文字概念页，不使用伪装的实机演示。</x:v>
      </x:c>
      <x:c r="K19" s="20" t="str">
        <x:v>查看当前官方产品说明；平台不支持外链时保留来源名称和日期。</x:v>
      </x:c>
      <x:c r="L19" s="20" t="str">
        <x:v>https://www.ingendynamics.com/fari.html</x:v>
      </x:c>
      <x:c r="M19" s="20" t="str">
        <x:v>R1; I1</x:v>
      </x:c>
      <x:c r="N19" s="18" t="str">
        <x:v>Draft</x:v>
      </x:c>
    </x:row>
    <x:row r="20" ht="72" customHeight="1">
      <x:c r="A20" s="16" t="str">
        <x:v>RB-06-1</x:v>
      </x:c>
      <x:c r="B20" s="16" t="n">
        <x:v>6</x:v>
      </x:c>
      <x:c r="C20" s="21" t="n">
        <x:f>Overview!$B$4+(B20-1)*7+1</x:f>
        <x:v>46350</x:v>
      </x:c>
      <x:c r="D20" s="16" t="str">
        <x:v>Fari</x:v>
      </x:c>
      <x:c r="E20" s="16" t="str">
        <x:v>F2</x:v>
      </x:c>
      <x:c r="F20" s="16" t="str">
        <x:v>家庭讨论清单</x:v>
      </x:c>
      <x:c r="G20" s="16" t="str">
        <x:v>图文清单</x:v>
      </x:c>
      <x:c r="H20" s="22" t="str">
        <x:v>全家同意之前，先聊四个问题</x:v>
      </x:c>
      <x:c r="I20" s="22" t="str">
        <x:v>依次讨论本人意愿、希望解决的事情、信息分享和家人后续责任。</x:v>
      </x:c>
      <x:c r="J20" s="22" t="str">
        <x:v>四个问题与未勾选的方框。</x:v>
      </x:c>
      <x:c r="K20" s="22" t="str">
        <x:v>收藏，留作家庭讨论提纲。</x:v>
      </x:c>
      <x:c r="L20" s="22" t="str">
        <x:v>站内收藏或私下讨论</x:v>
      </x:c>
      <x:c r="M20" s="22" t="str">
        <x:v>I1</x:v>
      </x:c>
      <x:c r="N20" s="16" t="str">
        <x:v>Draft</x:v>
      </x:c>
    </x:row>
    <x:row r="21" ht="72" customHeight="1">
      <x:c r="A21" s="18" t="str">
        <x:v>RB-06-2</x:v>
      </x:c>
      <x:c r="B21" s="18" t="n">
        <x:v>6</x:v>
      </x:c>
      <x:c r="C21" s="19" t="n">
        <x:f>Overview!$B$4+(B21-1)*7+3</x:f>
        <x:v>46352</x:v>
      </x:c>
      <x:c r="D21" s="18" t="str">
        <x:v>Fari</x:v>
      </x:c>
      <x:c r="E21" s="18" t="str">
        <x:v>F2</x:v>
      </x:c>
      <x:c r="F21" s="18" t="str">
        <x:v>家庭讨论清单</x:v>
      </x:c>
      <x:c r="G21" s="18" t="str">
        <x:v>单图问答</x:v>
      </x:c>
      <x:c r="H21" s="20" t="str">
        <x:v>“想安心一点”是需求，不是效果证明</x:v>
      </x:c>
      <x:c r="I21" s="20" t="str">
        <x:v>区分子女的安心需求和产品能够带来安心的证据。</x:v>
      </x:c>
      <x:c r="J21" s="20" t="str">
        <x:v>“需求／问题／所需证据”三张卡。</x:v>
      </x:c>
      <x:c r="K21" s="20" t="str">
        <x:v>和家人私下聊聊这个问题，不必公开个人健康信息。</x:v>
      </x:c>
      <x:c r="L21" s="20" t="str">
        <x:v>站内收藏或私下讨论</x:v>
      </x:c>
      <x:c r="M21" s="20" t="str">
        <x:v>I1</x:v>
      </x:c>
      <x:c r="N21" s="18" t="str">
        <x:v>Draft</x:v>
      </x:c>
    </x:row>
    <x:row r="22" ht="72" customHeight="1">
      <x:c r="A22" s="16" t="str">
        <x:v>RB-06-3</x:v>
      </x:c>
      <x:c r="B22" s="16" t="n">
        <x:v>6</x:v>
      </x:c>
      <x:c r="C22" s="21" t="n">
        <x:f>Overview!$B$4+(B22-1)*7+5</x:f>
        <x:v>46354</x:v>
      </x:c>
      <x:c r="D22" s="16" t="str">
        <x:v>Fari</x:v>
      </x:c>
      <x:c r="E22" s="16" t="str">
        <x:v>F2</x:v>
      </x:c>
      <x:c r="F22" s="16" t="str">
        <x:v>家庭讨论清单</x:v>
      </x:c>
      <x:c r="G22" s="16" t="str">
        <x:v>情景图文</x:v>
      </x:c>
      <x:c r="H22" s="22" t="str">
        <x:v>别把家人的责任写没了</x:v>
      </x:c>
      <x:c r="I22" s="22" t="str">
        <x:v>用假设家庭讨论呈现人的责任，不暗示机器人替代家人照护。</x:v>
      </x:c>
      <x:c r="J22" s="22" t="str">
        <x:v>家庭责任图与尚待确认的产品问题。</x:v>
      </x:c>
      <x:c r="K22" s="22" t="str">
        <x:v>查看当前官方产品说明；平台不支持外链时保留来源名称和日期。</x:v>
      </x:c>
      <x:c r="L22" s="22" t="str">
        <x:v>https://www.ingendynamics.com/fari.html</x:v>
      </x:c>
      <x:c r="M22" s="22" t="str">
        <x:v>I1</x:v>
      </x:c>
      <x:c r="N22" s="16" t="str">
        <x:v>Draft</x:v>
      </x:c>
    </x:row>
    <x:row r="23" ht="72" customHeight="1">
      <x:c r="A23" s="18" t="str">
        <x:v>RB-07-1</x:v>
      </x:c>
      <x:c r="B23" s="18" t="n">
        <x:v>7</x:v>
      </x:c>
      <x:c r="C23" s="19" t="n">
        <x:f>Overview!$B$4+(B23-1)*7+1</x:f>
        <x:v>46357</x:v>
      </x:c>
      <x:c r="D23" s="18" t="str">
        <x:v>Fari</x:v>
      </x:c>
      <x:c r="E23" s="18" t="str">
        <x:v>F3</x:v>
      </x:c>
      <x:c r="F23" s="18" t="str">
        <x:v>如何看懂机器人研究</x:v>
      </x:c>
      <x:c r="G23" s="18" t="str">
        <x:v>图文清单</x:v>
      </x:c>
      <x:c r="H23" s="20" t="str">
        <x:v>研究了机器人，不等于测试了 Fari</x:v>
      </x:c>
      <x:c r="I23" s="20" t="str">
        <x:v>以 Smarr 研究为有限例子，解释样本、任务和具体产品之间的区别。</x:v>
      </x:c>
      <x:c r="J23" s="20" t="str">
        <x:v>研究问题、样本与局限的简表。</x:v>
      </x:c>
      <x:c r="K23" s="20" t="str">
        <x:v>收藏，留作家庭讨论提纲。</x:v>
      </x:c>
      <x:c r="L23" s="20" t="str">
        <x:v>站内收藏或私下讨论</x:v>
      </x:c>
      <x:c r="M23" s="20" t="str">
        <x:v>R1; I1</x:v>
      </x:c>
      <x:c r="N23" s="18" t="str">
        <x:v>Draft</x:v>
      </x:c>
    </x:row>
    <x:row r="24" ht="72" customHeight="1">
      <x:c r="A24" s="16" t="str">
        <x:v>RB-07-2</x:v>
      </x:c>
      <x:c r="B24" s="16" t="n">
        <x:v>7</x:v>
      </x:c>
      <x:c r="C24" s="21" t="n">
        <x:f>Overview!$B$4+(B24-1)*7+3</x:f>
        <x:v>46359</x:v>
      </x:c>
      <x:c r="D24" s="16" t="str">
        <x:v>Fari</x:v>
      </x:c>
      <x:c r="E24" s="16" t="str">
        <x:v>F3</x:v>
      </x:c>
      <x:c r="F24" s="16" t="str">
        <x:v>如何看懂机器人研究</x:v>
      </x:c>
      <x:c r="G24" s="16" t="str">
        <x:v>单图问答</x:v>
      </x:c>
      <x:c r="H24" s="22" t="str">
        <x:v>研究到底测了什么？</x:v>
      </x:c>
      <x:c r="I24" s="22" t="str">
        <x:v>区分偏好报告、购买行为和健康结果，不把它们混为一谈。</x:v>
      </x:c>
      <x:c r="J24" s="22" t="str">
        <x:v>三类测量方式及短解释。</x:v>
      </x:c>
      <x:c r="K24" s="22" t="str">
        <x:v>和家人私下聊聊这个问题，不必公开个人健康信息。</x:v>
      </x:c>
      <x:c r="L24" s="22" t="str">
        <x:v>站内收藏或私下讨论</x:v>
      </x:c>
      <x:c r="M24" s="22" t="str">
        <x:v>R1; I1</x:v>
      </x:c>
      <x:c r="N24" s="16" t="str">
        <x:v>Draft</x:v>
      </x:c>
    </x:row>
    <x:row r="25" ht="72" customHeight="1">
      <x:c r="A25" s="18" t="str">
        <x:v>RB-07-3</x:v>
      </x:c>
      <x:c r="B25" s="18" t="n">
        <x:v>7</x:v>
      </x:c>
      <x:c r="C25" s="19" t="n">
        <x:f>Overview!$B$4+(B25-1)*7+5</x:f>
        <x:v>46361</x:v>
      </x:c>
      <x:c r="D25" s="18" t="str">
        <x:v>Fari</x:v>
      </x:c>
      <x:c r="E25" s="18" t="str">
        <x:v>F3</x:v>
      </x:c>
      <x:c r="F25" s="18" t="str">
        <x:v>如何看懂机器人研究</x:v>
      </x:c>
      <x:c r="G25" s="18" t="str">
        <x:v>情景图文</x:v>
      </x:c>
      <x:c r="H25" s="20" t="str">
        <x:v>一个研究发现，可以带来一个好问题</x:v>
      </x:c>
      <x:c r="I25" s="20" t="str">
        <x:v>从任务偏好差异提出下一步问题：哪些帮助是本人愿意接受的？</x:v>
      </x:c>
      <x:c r="J25" s="20" t="str">
        <x:v>发现指向问题的箭头，并注明研究局限。</x:v>
      </x:c>
      <x:c r="K25" s="20" t="str">
        <x:v>查看当前官方产品说明；平台不支持外链时保留来源名称和日期。</x:v>
      </x:c>
      <x:c r="L25" s="20" t="str">
        <x:v>https://www.ingendynamics.com/fari.html</x:v>
      </x:c>
      <x:c r="M25" s="20" t="str">
        <x:v>R1; I1</x:v>
      </x:c>
      <x:c r="N25" s="18" t="str">
        <x:v>Draft</x:v>
      </x:c>
    </x:row>
    <x:row r="26" ht="72" customHeight="1">
      <x:c r="A26" s="16" t="str">
        <x:v>RB-08-1</x:v>
      </x:c>
      <x:c r="B26" s="16" t="n">
        <x:v>8</x:v>
      </x:c>
      <x:c r="C26" s="21" t="n">
        <x:f>Overview!$B$4+(B26-1)*7+1</x:f>
        <x:v>46364</x:v>
      </x:c>
      <x:c r="D26" s="16" t="str">
        <x:v>Fari</x:v>
      </x:c>
      <x:c r="E26" s="16" t="str">
        <x:v>F1</x:v>
      </x:c>
      <x:c r="F26" s="16" t="str">
        <x:v>日常习惯与个人选择</x:v>
      </x:c>
      <x:c r="G26" s="16" t="str">
        <x:v>图文清单</x:v>
      </x:c>
      <x:c r="H26" s="22" t="str">
        <x:v>生活习惯不同，问题也应该不同</x:v>
      </x:c>
      <x:c r="I26" s="22" t="str">
        <x:v>比较两种虚构生活习惯，不将它们描述成某类人群的普遍特点。</x:v>
      </x:c>
      <x:c r="J26" s="22" t="str">
        <x:v>两份不同的日程，明确标注虚构。</x:v>
      </x:c>
      <x:c r="K26" s="22" t="str">
        <x:v>收藏，留作家庭讨论提纲。</x:v>
      </x:c>
      <x:c r="L26" s="22" t="str">
        <x:v>站内收藏或私下讨论</x:v>
      </x:c>
      <x:c r="M26" s="22" t="str">
        <x:v>R1; I1</x:v>
      </x:c>
      <x:c r="N26" s="16" t="str">
        <x:v>Draft</x:v>
      </x:c>
    </x:row>
    <x:row r="27" ht="72" customHeight="1">
      <x:c r="A27" s="18" t="str">
        <x:v>RB-08-2</x:v>
      </x:c>
      <x:c r="B27" s="18" t="n">
        <x:v>8</x:v>
      </x:c>
      <x:c r="C27" s="19" t="n">
        <x:f>Overview!$B$4+(B27-1)*7+3</x:f>
        <x:v>46366</x:v>
      </x:c>
      <x:c r="D27" s="18" t="str">
        <x:v>Fari</x:v>
      </x:c>
      <x:c r="E27" s="18" t="str">
        <x:v>F1</x:v>
      </x:c>
      <x:c r="F27" s="18" t="str">
        <x:v>日常习惯与个人选择</x:v>
      </x:c>
      <x:c r="G27" s="18" t="str">
        <x:v>单图问答</x:v>
      </x:c>
      <x:c r="H27" s="20" t="str">
        <x:v>熟悉的方式，也未必人人都喜欢</x:v>
      </x:c>
      <x:c r="I27" s="20" t="str">
        <x:v>询问语音、文字或家人说明哪种方式更便于理解概念，不推断偏好。</x:v>
      </x:c>
      <x:c r="J27" s="20" t="str">
        <x:v>三种说明方式并列为选项。</x:v>
      </x:c>
      <x:c r="K27" s="20" t="str">
        <x:v>和家人私下聊聊这个问题，不必公开个人健康信息。</x:v>
      </x:c>
      <x:c r="L27" s="20" t="str">
        <x:v>站内收藏或私下讨论</x:v>
      </x:c>
      <x:c r="M27" s="20" t="str">
        <x:v>R1; I1</x:v>
      </x:c>
      <x:c r="N27" s="18" t="str">
        <x:v>Draft</x:v>
      </x:c>
    </x:row>
    <x:row r="28" ht="72" customHeight="1">
      <x:c r="A28" s="16" t="str">
        <x:v>RB-08-3</x:v>
      </x:c>
      <x:c r="B28" s="16" t="n">
        <x:v>8</x:v>
      </x:c>
      <x:c r="C28" s="21" t="n">
        <x:f>Overview!$B$4+(B28-1)*7+5</x:f>
        <x:v>46368</x:v>
      </x:c>
      <x:c r="D28" s="16" t="str">
        <x:v>Fari</x:v>
      </x:c>
      <x:c r="E28" s="16" t="str">
        <x:v>F1</x:v>
      </x:c>
      <x:c r="F28" s="16" t="str">
        <x:v>日常习惯与个人选择</x:v>
      </x:c>
      <x:c r="G28" s="16" t="str">
        <x:v>情景图文</x:v>
      </x:c>
      <x:c r="H28" s="22" t="str">
        <x:v>先换个场景问问，别急着加功能</x:v>
      </x:c>
      <x:c r="I28" s="22" t="str">
        <x:v>说明同一假设互动在一种场景中可能有用，在另一场景中可能打扰人。</x:v>
      </x:c>
      <x:c r="J28" s="22" t="str">
        <x:v>两张场景卡，结论保持开放。</x:v>
      </x:c>
      <x:c r="K28" s="22" t="str">
        <x:v>查看当前官方产品说明；平台不支持外链时保留来源名称和日期。</x:v>
      </x:c>
      <x:c r="L28" s="22" t="str">
        <x:v>https://www.ingendynamics.com/fari.html</x:v>
      </x:c>
      <x:c r="M28" s="22" t="str">
        <x:v>R1; I1</x:v>
      </x:c>
      <x:c r="N28" s="16" t="str">
        <x:v>Draft</x:v>
      </x:c>
    </x:row>
    <x:row r="29" ht="72" customHeight="1">
      <x:c r="A29" s="18" t="str">
        <x:v>RB-09-1</x:v>
      </x:c>
      <x:c r="B29" s="18" t="n">
        <x:v>9</x:v>
      </x:c>
      <x:c r="C29" s="19" t="n">
        <x:f>Overview!$B$4+(B29-1)*7+1</x:f>
        <x:v>46371</x:v>
      </x:c>
      <x:c r="D29" s="18" t="str">
        <x:v>Fari</x:v>
      </x:c>
      <x:c r="E29" s="18" t="str">
        <x:v>F2</x:v>
      </x:c>
      <x:c r="F29" s="18" t="str">
        <x:v>允许一家人意见不同</x:v>
      </x:c>
      <x:c r="G29" s="18" t="str">
        <x:v>图文清单</x:v>
      </x:c>
      <x:c r="H29" s="20" t="str">
        <x:v>如果家里有人说不呢？</x:v>
      </x:c>
      <x:c r="I29" s="20" t="str">
        <x:v>给出尊重彼此的讨论清单，不预设谁应该说服谁。</x:v>
      </x:c>
      <x:c r="J29" s="20" t="str">
        <x:v>暂停、说明原因、以后再聊的清单。</x:v>
      </x:c>
      <x:c r="K29" s="20" t="str">
        <x:v>收藏，留作家庭讨论提纲。</x:v>
      </x:c>
      <x:c r="L29" s="20" t="str">
        <x:v>站内收藏或私下讨论</x:v>
      </x:c>
      <x:c r="M29" s="20" t="str">
        <x:v>I1</x:v>
      </x:c>
      <x:c r="N29" s="18" t="str">
        <x:v>Draft</x:v>
      </x:c>
    </x:row>
    <x:row r="30" ht="72" customHeight="1">
      <x:c r="A30" s="16" t="str">
        <x:v>RB-09-2</x:v>
      </x:c>
      <x:c r="B30" s="16" t="n">
        <x:v>9</x:v>
      </x:c>
      <x:c r="C30" s="21" t="n">
        <x:f>Overview!$B$4+(B30-1)*7+3</x:f>
        <x:v>46373</x:v>
      </x:c>
      <x:c r="D30" s="16" t="str">
        <x:v>Fari</x:v>
      </x:c>
      <x:c r="E30" s="16" t="str">
        <x:v>F2</x:v>
      </x:c>
      <x:c r="F30" s="16" t="str">
        <x:v>允许一家人意见不同</x:v>
      </x:c>
      <x:c r="G30" s="16" t="str">
        <x:v>单图问答</x:v>
      </x:c>
      <x:c r="H30" s="22" t="str">
        <x:v>认真提问，比让人内疚更有用</x:v>
      </x:c>
      <x:c r="I30" s="22" t="str">
        <x:v>避免将购买产品写成孝顺或关心家人的证明。</x:v>
      </x:c>
      <x:c r="J30" s="22" t="str">
        <x:v>尊重式提问与划掉的内疚式话术。</x:v>
      </x:c>
      <x:c r="K30" s="22" t="str">
        <x:v>和家人私下聊聊这个问题，不必公开个人健康信息。</x:v>
      </x:c>
      <x:c r="L30" s="22" t="str">
        <x:v>站内收藏或私下讨论</x:v>
      </x:c>
      <x:c r="M30" s="22" t="str">
        <x:v>I1</x:v>
      </x:c>
      <x:c r="N30" s="16" t="str">
        <x:v>Draft</x:v>
      </x:c>
    </x:row>
    <x:row r="31" ht="72" customHeight="1">
      <x:c r="A31" s="18" t="str">
        <x:v>RB-09-3</x:v>
      </x:c>
      <x:c r="B31" s="18" t="n">
        <x:v>9</x:v>
      </x:c>
      <x:c r="C31" s="19" t="n">
        <x:f>Overview!$B$4+(B31-1)*7+5</x:f>
        <x:v>46375</x:v>
      </x:c>
      <x:c r="D31" s="18" t="str">
        <x:v>Fari</x:v>
      </x:c>
      <x:c r="E31" s="18" t="str">
        <x:v>F2</x:v>
      </x:c>
      <x:c r="F31" s="18" t="str">
        <x:v>允许一家人意见不同</x:v>
      </x:c>
      <x:c r="G31" s="18" t="str">
        <x:v>情景图文</x:v>
      </x:c>
      <x:c r="H31" s="20" t="str">
        <x:v>先一起聊聊，不急着当礼物买</x:v>
      </x:c>
      <x:c r="I31" s="20" t="str">
        <x:v>以假设礼物场景讨论本人选择，并清楚注明产品开发状态。</x:v>
      </x:c>
      <x:c r="J31" s="20" t="str">
        <x:v>礼物想法、共同讨论、待解问题三步图。</x:v>
      </x:c>
      <x:c r="K31" s="20" t="str">
        <x:v>查看当前官方产品说明；平台不支持外链时保留来源名称和日期。</x:v>
      </x:c>
      <x:c r="L31" s="20" t="str">
        <x:v>https://www.ingendynamics.com/fari.html</x:v>
      </x:c>
      <x:c r="M31" s="20" t="str">
        <x:v>I1</x:v>
      </x:c>
      <x:c r="N31" s="18" t="str">
        <x:v>Draft</x:v>
      </x:c>
    </x:row>
    <x:row r="32" ht="72" customHeight="1">
      <x:c r="A32" s="16" t="str">
        <x:v>RB-10-1</x:v>
      </x:c>
      <x:c r="B32" s="16" t="n">
        <x:v>10</x:v>
      </x:c>
      <x:c r="C32" s="21" t="n">
        <x:f>Overview!$B$4+(B32-1)*7+1</x:f>
        <x:v>46378</x:v>
      </x:c>
      <x:c r="D32" s="16" t="str">
        <x:v>Fari</x:v>
      </x:c>
      <x:c r="E32" s="16" t="str">
        <x:v>F3</x:v>
      </x:c>
      <x:c r="F32" s="16" t="str">
        <x:v>先看边界，再看承诺</x:v>
      </x:c>
      <x:c r="G32" s="16" t="str">
        <x:v>图文清单</x:v>
      </x:c>
      <x:c r="H32" s="22" t="str">
        <x:v>这句话的哪一部分需要证据？</x:v>
      </x:c>
      <x:c r="I32" s="22" t="str">
        <x:v>拆解一条虚构夸大宣传，并改写为有边界的问题。</x:v>
      </x:c>
      <x:c r="J32" s="22" t="str">
        <x:v>用两种颜色标注原话与证据需求。</x:v>
      </x:c>
      <x:c r="K32" s="22" t="str">
        <x:v>收藏，留作家庭讨论提纲。</x:v>
      </x:c>
      <x:c r="L32" s="22" t="str">
        <x:v>站内收藏或私下讨论</x:v>
      </x:c>
      <x:c r="M32" s="22" t="str">
        <x:v>I1; R2</x:v>
      </x:c>
      <x:c r="N32" s="16" t="str">
        <x:v>Draft</x:v>
      </x:c>
    </x:row>
    <x:row r="33" ht="72" customHeight="1">
      <x:c r="A33" s="18" t="str">
        <x:v>RB-10-2</x:v>
      </x:c>
      <x:c r="B33" s="18" t="n">
        <x:v>10</x:v>
      </x:c>
      <x:c r="C33" s="19" t="n">
        <x:f>Overview!$B$4+(B33-1)*7+3</x:f>
        <x:v>46380</x:v>
      </x:c>
      <x:c r="D33" s="18" t="str">
        <x:v>Fari</x:v>
      </x:c>
      <x:c r="E33" s="18" t="str">
        <x:v>F3</x:v>
      </x:c>
      <x:c r="F33" s="18" t="str">
        <x:v>先看边界，再看承诺</x:v>
      </x:c>
      <x:c r="G33" s="18" t="str">
        <x:v>单图问答</x:v>
      </x:c>
      <x:c r="H33" s="20" t="str">
        <x:v>谁来负责，应该一眼能看懂</x:v>
      </x:c>
      <x:c r="I33" s="20" t="str">
        <x:v>询问系统无法帮助时由谁跟进，不承诺应急效果。</x:v>
      </x:c>
      <x:c r="J33" s="20" t="str">
        <x:v>概念场景旁突出人的职责。</x:v>
      </x:c>
      <x:c r="K33" s="20" t="str">
        <x:v>和家人私下聊聊这个问题，不必公开个人健康信息。</x:v>
      </x:c>
      <x:c r="L33" s="20" t="str">
        <x:v>站内收藏或私下讨论</x:v>
      </x:c>
      <x:c r="M33" s="20" t="str">
        <x:v>I1; R2</x:v>
      </x:c>
      <x:c r="N33" s="18" t="str">
        <x:v>Draft</x:v>
      </x:c>
    </x:row>
    <x:row r="34" ht="72" customHeight="1">
      <x:c r="A34" s="16" t="str">
        <x:v>RB-10-3</x:v>
      </x:c>
      <x:c r="B34" s="16" t="n">
        <x:v>10</x:v>
      </x:c>
      <x:c r="C34" s="21" t="n">
        <x:f>Overview!$B$4+(B34-1)*7+5</x:f>
        <x:v>46382</x:v>
      </x:c>
      <x:c r="D34" s="16" t="str">
        <x:v>Fari</x:v>
      </x:c>
      <x:c r="E34" s="16" t="str">
        <x:v>F3</x:v>
      </x:c>
      <x:c r="F34" s="16" t="str">
        <x:v>先看边界，再看承诺</x:v>
      </x:c>
      <x:c r="G34" s="16" t="str">
        <x:v>情景图文</x:v>
      </x:c>
      <x:c r="H34" s="22" t="str">
        <x:v>图片被转发后，状态说明也不能丢</x:v>
      </x:c>
      <x:c r="I34" s="22" t="str">
        <x:v>说明为什么每张概念图都需要独立保留开发中标注。</x:v>
      </x:c>
      <x:c r="J34" s="22" t="str">
        <x:v>可独立转发的概念卡与清晰底注。</x:v>
      </x:c>
      <x:c r="K34" s="22" t="str">
        <x:v>查看当前官方产品说明；平台不支持外链时保留来源名称和日期。</x:v>
      </x:c>
      <x:c r="L34" s="22" t="str">
        <x:v>https://www.ingendynamics.com/fari.html</x:v>
      </x:c>
      <x:c r="M34" s="22" t="str">
        <x:v>I1; R2</x:v>
      </x:c>
      <x:c r="N34" s="16" t="str">
        <x:v>Draft</x:v>
      </x:c>
    </x:row>
    <x:row r="35" ht="72" customHeight="1">
      <x:c r="A35" s="18" t="str">
        <x:v>RB-11-1</x:v>
      </x:c>
      <x:c r="B35" s="18" t="n">
        <x:v>11</x:v>
      </x:c>
      <x:c r="C35" s="19" t="n">
        <x:f>Overview!$B$4+(B35-1)*7+1</x:f>
        <x:v>46385</x:v>
      </x:c>
      <x:c r="D35" s="18" t="str">
        <x:v>Fari</x:v>
      </x:c>
      <x:c r="E35" s="18" t="str">
        <x:v>F2</x:v>
      </x:c>
      <x:c r="F35" s="18" t="str">
        <x:v>准备好再问下一步</x:v>
      </x:c>
      <x:c r="G35" s="18" t="str">
        <x:v>图文清单</x:v>
      </x:c>
      <x:c r="H35" s="20" t="str">
        <x:v>带着自己的需求来讨论</x:v>
      </x:c>
      <x:c r="I35" s="20" t="str">
        <x:v>提供空白家庭讨论表，写任务、边界和问题，不收集敏感信息。</x:v>
      </x:c>
      <x:c r="J35" s="20" t="str">
        <x:v>便于保存的空白填写表。</x:v>
      </x:c>
      <x:c r="K35" s="20" t="str">
        <x:v>收藏，留作家庭讨论提纲。</x:v>
      </x:c>
      <x:c r="L35" s="20" t="str">
        <x:v>站内收藏或私下讨论</x:v>
      </x:c>
      <x:c r="M35" s="20" t="str">
        <x:v>I1</x:v>
      </x:c>
      <x:c r="N35" s="18" t="str">
        <x:v>Draft</x:v>
      </x:c>
    </x:row>
    <x:row r="36" ht="72" customHeight="1">
      <x:c r="A36" s="16" t="str">
        <x:v>RB-11-2</x:v>
      </x:c>
      <x:c r="B36" s="16" t="n">
        <x:v>11</x:v>
      </x:c>
      <x:c r="C36" s="21" t="n">
        <x:f>Overview!$B$4+(B36-1)*7+3</x:f>
        <x:v>46387</x:v>
      </x:c>
      <x:c r="D36" s="16" t="str">
        <x:v>Fari</x:v>
      </x:c>
      <x:c r="E36" s="16" t="str">
        <x:v>F2</x:v>
      </x:c>
      <x:c r="F36" s="16" t="str">
        <x:v>准备好再问下一步</x:v>
      </x:c>
      <x:c r="G36" s="16" t="str">
        <x:v>单图问答</x:v>
      </x:c>
      <x:c r="H36" s="22" t="str">
        <x:v>尝试之前，你还想知道什么？</x:v>
      </x:c>
      <x:c r="I36" s="22" t="str">
        <x:v>只问一个尚未解答的问题，不暗示已经开放试用。</x:v>
      </x:c>
      <x:c r="J36" s="22" t="str">
        <x:v>一个提问与三类可能关切。</x:v>
      </x:c>
      <x:c r="K36" s="22" t="str">
        <x:v>和家人私下聊聊这个问题，不必公开个人健康信息。</x:v>
      </x:c>
      <x:c r="L36" s="22" t="str">
        <x:v>站内收藏或私下讨论</x:v>
      </x:c>
      <x:c r="M36" s="22" t="str">
        <x:v>I1</x:v>
      </x:c>
      <x:c r="N36" s="16" t="str">
        <x:v>Draft</x:v>
      </x:c>
    </x:row>
    <x:row r="37" ht="72" customHeight="1">
      <x:c r="A37" s="18" t="str">
        <x:v>RB-11-3</x:v>
      </x:c>
      <x:c r="B37" s="18" t="n">
        <x:v>11</x:v>
      </x:c>
      <x:c r="C37" s="19" t="n">
        <x:f>Overview!$B$4+(B37-1)*7+5</x:f>
        <x:v>46389</x:v>
      </x:c>
      <x:c r="D37" s="18" t="str">
        <x:v>Fari</x:v>
      </x:c>
      <x:c r="E37" s="18" t="str">
        <x:v>F2</x:v>
      </x:c>
      <x:c r="F37" s="18" t="str">
        <x:v>准备好再问下一步</x:v>
      </x:c>
      <x:c r="G37" s="18" t="str">
        <x:v>情景图文</x:v>
      </x:c>
      <x:c r="H37" s="20" t="str">
        <x:v>讨论清单的结论，也可以是“再等等”</x:v>
      </x:c>
      <x:c r="I37" s="20" t="str">
        <x:v>当证据和产品状态不清楚时，将暂缓决定写成合理选择。</x:v>
      </x:c>
      <x:c r="J37" s="20" t="str">
        <x:v>了解、提问、等待三张决定卡。</x:v>
      </x:c>
      <x:c r="K37" s="20" t="str">
        <x:v>查看当前官方产品说明；平台不支持外链时保留来源名称和日期。</x:v>
      </x:c>
      <x:c r="L37" s="20" t="str">
        <x:v>https://www.ingendynamics.com/fari.html</x:v>
      </x:c>
      <x:c r="M37" s="20" t="str">
        <x:v>I1</x:v>
      </x:c>
      <x:c r="N37" s="18" t="str">
        <x:v>Draft</x:v>
      </x:c>
    </x:row>
    <x:row r="38" ht="72" customHeight="1">
      <x:c r="A38" s="16" t="str">
        <x:v>RB-12-1</x:v>
      </x:c>
      <x:c r="B38" s="16" t="n">
        <x:v>12</x:v>
      </x:c>
      <x:c r="C38" s="21" t="n">
        <x:f>Overview!$B$4+(B38-1)*7+1</x:f>
        <x:v>46392</x:v>
      </x:c>
      <x:c r="D38" s="16" t="str">
        <x:v>Fari</x:v>
      </x:c>
      <x:c r="E38" s="16" t="str">
        <x:v>F3</x:v>
      </x:c>
      <x:c r="F38" s="16" t="str">
        <x:v>回顾仍然没有答案的问题</x:v>
      </x:c>
      <x:c r="G38" s="16" t="str">
        <x:v>图文清单</x:v>
      </x:c>
      <x:c r="H38" s="22" t="str">
        <x:v>这三个问题，值得继续问</x:v>
      </x:c>
      <x:c r="I38" s="22" t="str">
        <x:v>回顾可接受的帮助、分享和证据三个问题，不假称已有用户反馈。</x:v>
      </x:c>
      <x:c r="J38" s="22" t="str">
        <x:v>三问回顾图文。</x:v>
      </x:c>
      <x:c r="K38" s="22" t="str">
        <x:v>收藏，留作家庭讨论提纲。</x:v>
      </x:c>
      <x:c r="L38" s="22" t="str">
        <x:v>站内收藏或私下讨论</x:v>
      </x:c>
      <x:c r="M38" s="22" t="str">
        <x:v>I1; R1</x:v>
      </x:c>
      <x:c r="N38" s="16" t="str">
        <x:v>Draft</x:v>
      </x:c>
    </x:row>
    <x:row r="39" ht="72" customHeight="1">
      <x:c r="A39" s="18" t="str">
        <x:v>RB-12-2</x:v>
      </x:c>
      <x:c r="B39" s="18" t="n">
        <x:v>12</x:v>
      </x:c>
      <x:c r="C39" s="19" t="n">
        <x:f>Overview!$B$4+(B39-1)*7+3</x:f>
        <x:v>46394</x:v>
      </x:c>
      <x:c r="D39" s="18" t="str">
        <x:v>Fari</x:v>
      </x:c>
      <x:c r="E39" s="18" t="str">
        <x:v>F3</x:v>
      </x:c>
      <x:c r="F39" s="18" t="str">
        <x:v>回顾仍然没有答案的问题</x:v>
      </x:c>
      <x:c r="G39" s="18" t="str">
        <x:v>单图问答</x:v>
      </x:c>
      <x:c r="H39" s="20" t="str">
        <x:v>下一次说明，应该讲清楚什么？</x:v>
      </x:c>
      <x:c r="I39" s="20" t="str">
        <x:v>征集解释主题，不把评论当作具有代表性的调研结果。</x:v>
      </x:c>
      <x:c r="J39" s="20" t="str">
        <x:v>开放问题卡与话题示例。</x:v>
      </x:c>
      <x:c r="K39" s="20" t="str">
        <x:v>和家人私下聊聊这个问题，不必公开个人健康信息。</x:v>
      </x:c>
      <x:c r="L39" s="20" t="str">
        <x:v>站内收藏或私下讨论</x:v>
      </x:c>
      <x:c r="M39" s="20" t="str">
        <x:v>I1; R1</x:v>
      </x:c>
      <x:c r="N39" s="18" t="str">
        <x:v>Draft</x:v>
      </x:c>
    </x:row>
    <x:row r="40" ht="72" customHeight="1">
      <x:c r="A40" s="16" t="str">
        <x:v>RB-12-3</x:v>
      </x:c>
      <x:c r="B40" s="16" t="n">
        <x:v>12</x:v>
      </x:c>
      <x:c r="C40" s="21" t="n">
        <x:f>Overview!$B$4+(B40-1)*7+5</x:f>
        <x:v>46396</x:v>
      </x:c>
      <x:c r="D40" s="16" t="str">
        <x:v>Fari</x:v>
      </x:c>
      <x:c r="E40" s="16" t="str">
        <x:v>F3</x:v>
      </x:c>
      <x:c r="F40" s="16" t="str">
        <x:v>回顾仍然没有答案的问题</x:v>
      </x:c>
      <x:c r="G40" s="16" t="str">
        <x:v>情景图文</x:v>
      </x:c>
      <x:c r="H40" s="22" t="str">
        <x:v>先理解清楚，再做决定</x:v>
      </x:c>
      <x:c r="I40" s="22" t="str">
        <x:v>总结决策提纲，保留开发中说明，引导查看当前公开来源。</x:v>
      </x:c>
      <x:c r="J40" s="22" t="str">
        <x:v>选择、职责、证据三部分总结与来源提示。</x:v>
      </x:c>
      <x:c r="K40" s="22" t="str">
        <x:v>查看当前官方产品说明；平台不支持外链时保留来源名称和日期。</x:v>
      </x:c>
      <x:c r="L40" s="22" t="str">
        <x:v>https://www.ingendynamics.com/fari.html</x:v>
      </x:c>
      <x:c r="M40" s="22" t="str">
        <x:v>I1; R1</x:v>
      </x:c>
      <x:c r="N40" s="16" t="str">
        <x:v>Draft</x:v>
      </x:c>
    </x:row>
  </x:sheetData>
  <x:mergeCells>
    <x:mergeCell ref="A1:N1"/>
    <x:mergeCell ref="A2:N2"/>
  </x:mergeCells>
  <x:conditionalFormatting sqref="N5:N40">
    <x:cfRule type="containsText" dxfId="2" priority="1" operator="containsText" text="Hold"/>
  </x:conditionalFormatting>
  <x:dataValidations count="1">
    <x:dataValidation type="list" sqref="N5:N40">
      <x:formula1>"Draft,In review,Approved,Hold,Scheduled,Published"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bd862ec9fe4c4d"/>
  </x:tableParts>
</x:worksheet>
</file>